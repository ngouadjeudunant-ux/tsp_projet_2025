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filterPrivacy="1" codeName="ThisWorkbook" autoCompressPictures="0"/>
  <xr:revisionPtr revIDLastSave="0" documentId="13_ncr:1_{C03F8EED-88F1-4ED3-9782-083A990D8D9D}" xr6:coauthVersionLast="47" xr6:coauthVersionMax="47" xr10:uidLastSave="{00000000-0000-0000-0000-000000000000}"/>
  <bookViews>
    <workbookView xWindow="0" yWindow="2112" windowWidth="23040" windowHeight="11568" tabRatio="894" firstSheet="7" activeTab="9" xr2:uid="{00000000-000D-0000-FFFF-FFFF00000000}"/>
  </bookViews>
  <sheets>
    <sheet name="1a-Identification Projet" sheetId="39" r:id="rId1"/>
    <sheet name="1b- Besoin capturé" sheetId="95" r:id="rId2"/>
    <sheet name="2- Croquis de la solution" sheetId="98" r:id="rId3"/>
    <sheet name="2a-OBS" sheetId="40" r:id="rId4"/>
    <sheet name="2b-PBS" sheetId="91" r:id="rId5"/>
    <sheet name="2c-WBS" sheetId="90" r:id="rId6"/>
    <sheet name="2d-Planning Initial" sheetId="92" r:id="rId7"/>
    <sheet name="23b- Principaux évènements" sheetId="42" r:id="rId8"/>
    <sheet name="23c Actions" sheetId="74" r:id="rId9"/>
    <sheet name="23d Decisions" sheetId="73" r:id="rId10"/>
    <sheet name="23e Documents projet" sheetId="86" r:id="rId11"/>
    <sheet name="23f Livrables projet" sheetId="89" r:id="rId12"/>
    <sheet name="23a Risques-Opportunités" sheetId="82" r:id="rId13"/>
    <sheet name="3a-Planning courant" sheetId="93" r:id="rId14"/>
    <sheet name="4-Bilan" sheetId="96" r:id="rId15"/>
    <sheet name="Cartouche" sheetId="97" r:id="rId16"/>
  </sheets>
  <definedNames>
    <definedName name="__TBD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3"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_TBD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6"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7"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_TDB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a362903"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xlnm._FilterDatabase" localSheetId="1" hidden="1">'1b- Besoin capturé'!#REF!</definedName>
    <definedName name="_xlnm._FilterDatabase" localSheetId="8" hidden="1">'23c Actions'!$A$7:$G$10</definedName>
    <definedName name="_xlnm._FilterDatabase" localSheetId="9" hidden="1">'23d Decisions'!#REF!</definedName>
    <definedName name="_xlnm._FilterDatabase" localSheetId="10" hidden="1">'23e Documents projet'!#REF!</definedName>
    <definedName name="_xlnm._FilterDatabase" localSheetId="11" hidden="1">'23f Livrables projet'!#REF!</definedName>
    <definedName name="_xlnm._FilterDatabase" localSheetId="14" hidden="1">'4-Bilan'!#REF!</definedName>
    <definedName name="_TBD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3"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TBD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6"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7"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TDB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a"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aa"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dmin1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2"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2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3"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dmin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eafe"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e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efe"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re"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b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RRJ_NAV.2.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x"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fgg" localSheetId="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9"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1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1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14"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9"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1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1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14"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eaae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ery"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PG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rer"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yr"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FCU"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fqsdf" hidden="1">{#N/A,#N/A,TRUE,"Page de garde";#N/A,#N/A,TRUE,"0.1 Fiche descriptive";#N/A,#N/A,TRUE,"0.2 Organisation";#N/A,#N/A,TRUE,"0.3 Base documentaire";#N/A,#N/A,TRUE,"1.1 Faits Marquants";#N/A,#N/A,TRUE,"1.2 Décisions-Actions";#N/A,#N/A,TRUE,"2.1 Planning  (automatique)";#N/A,#N/A,TRUE,"2.2 Jalons (Courbe à 45°)";#N/A,#N/A,TRUE,"2.3 IMD - IRD PM";#N/A,#N/A,TRUE,"2.4 Suivi par Jalons";#N/A,#N/A,TRUE,"2.6 Obligations Client";#N/A,#N/A,TRUE,"3.1 Risques";#N/A,#N/A,TRUE,"3.2 Opportunités";#N/A,#N/A,TRUE,"8.1 COP-CEP ";#N/A,#N/A,TRUE,"8.2.1 Synthèse CPE CPP Etude";#N/A,#N/A,TRUE,"8.2.2 Synthèse CPE CPP Série";#N/A,#N/A,TRUE,"8.2.3 Synthèse CPE CPP TOTAL";#N/A,#N/A,TRUE,"8.3 CPE-CPP par lots";#N/A,#N/A,TRUE,"8.4 Courbe dépenses CPR-PPS";#N/A,#N/A,TRUE,"8.5 Situation financière";#N/A,#N/A,TRUE,"8.6 Rentabilité à terminaison"}</definedName>
    <definedName name="gg"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gh"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GRAPH_EVOL_SHIPSET"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hjkh"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HUD"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IVV"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KCCU"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MOU"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NDXKTMDRT"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newname"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QQQQQQQ"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RRJ"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rtg"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s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ss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ssss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BD"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Entreprises." hidden="1">{#N/A,#N/A,FALSE,"RCM";#N/A,#N/A,FALSE,"TME";#N/A,#N/A,FALSE,"TCAR";#N/A,#N/A,FALSE,"TCM";#N/A,#N/A,FALSE,"TCO";#N/A,#N/A,FALSE,"ANG";#N/A,#N/A,FALSE,"LAS";#N/A,#N/A,FALSE,"POL";#N/A,#N/A,FALSE,"TTS";#N/A,#N/A,FALSE,"TTE";#N/A,#N/A,FALSE,"TMX";#N/A,#N/A,FALSE,"TDA";#N/A,#N/A,FALSE,"BC";#N/A,#N/A,FALSE,"AUX";#N/A,#N/A,FALSE,"AJU1";#N/A,#N/A,FALSE,"AJU2";#N/A,#N/A,FALSE,"AJU3"}</definedName>
    <definedName name="wrn.poles." hidden="1">{#N/A,#N/A,FALSE,"Branche";#N/A,#N/A,FALSE,"Electromagnétisme";#N/A,#N/A,FALSE,"Optronique";#N/A,#N/A,FALSE,"Simulation";#N/A,#N/A,FALSE,"Tubes";#N/A,#N/A,FALSE,"Armement";#N/A,#N/A,FALSE,"Génération";#N/A,#N/A,FALSE,"Ajustements"}</definedName>
    <definedName name="wrn.Rap1."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DG."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wrn.tdb"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9"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1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1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14"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2"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MIG29." hidden="1">{#N/A,#N/A,TRUE,"Page de garde";#N/A,#N/A,TRUE,"0.1 Fiche descriptive";#N/A,#N/A,TRUE,"0.2 Organisation";#N/A,#N/A,TRUE,"0.3 Base documentaire";#N/A,#N/A,TRUE,"1.1 Faits Marquants";#N/A,#N/A,TRUE,"1.2 Décisions-Actions";#N/A,#N/A,TRUE,"2.1 Planning  (automatique)";#N/A,#N/A,TRUE,"2.2 Jalons (Courbe à 45°)";#N/A,#N/A,TRUE,"2.3 IMD - IRD PM";#N/A,#N/A,TRUE,"2.4 Suivi par Jalons";#N/A,#N/A,TRUE,"2.6 Obligations Client";#N/A,#N/A,TRUE,"3.1 Risques";#N/A,#N/A,TRUE,"3.2 Opportunités";#N/A,#N/A,TRUE,"8.1 COP-CEP ";#N/A,#N/A,TRUE,"8.2.1 Synthèse CPE CPP Etude";#N/A,#N/A,TRUE,"8.2.2 Synthèse CPE CPP Série";#N/A,#N/A,TRUE,"8.2.3 Synthèse CPE CPP TOTAL";#N/A,#N/A,TRUE,"8.3 CPE-CPP par lots";#N/A,#N/A,TRUE,"8.4 Courbe dépenses CPR-PPS";#N/A,#N/A,TRUE,"8.5 Situation financière";#N/A,#N/A,TRUE,"8.6 Rentabilité à terminaison"}</definedName>
    <definedName name="x"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xxx"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xxx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xxx2"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y"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9" i="93" l="1"/>
  <c r="Q22" i="93"/>
  <c r="Q13" i="93"/>
  <c r="A1" i="73"/>
  <c r="G1" i="96"/>
  <c r="G2" i="96"/>
  <c r="A1" i="96" s="1"/>
  <c r="G3" i="96"/>
  <c r="Q9" i="93" l="1"/>
  <c r="K3" i="93"/>
  <c r="K2" i="93"/>
  <c r="B1" i="93" s="1"/>
  <c r="K1" i="93"/>
  <c r="G3" i="95" l="1"/>
  <c r="G2" i="95"/>
  <c r="G1" i="95"/>
  <c r="K3" i="92"/>
  <c r="K2" i="92"/>
  <c r="K1" i="92"/>
  <c r="K3" i="91"/>
  <c r="K2" i="91"/>
  <c r="K1" i="91"/>
  <c r="K3" i="90"/>
  <c r="K2" i="90"/>
  <c r="K1" i="90"/>
  <c r="C12" i="82"/>
  <c r="E11" i="82"/>
  <c r="E10" i="82"/>
  <c r="E19" i="82"/>
  <c r="D3" i="89"/>
  <c r="D2" i="89"/>
  <c r="A1" i="89" s="1"/>
  <c r="D1" i="89"/>
  <c r="I3" i="86"/>
  <c r="I2" i="86"/>
  <c r="A1" i="86" s="1"/>
  <c r="I1" i="86"/>
  <c r="C21" i="82"/>
  <c r="J1" i="73"/>
  <c r="J2" i="73"/>
  <c r="J3" i="73"/>
  <c r="I1" i="74"/>
  <c r="I2" i="74"/>
  <c r="A1" i="74" s="1"/>
  <c r="I3" i="74"/>
  <c r="F1" i="82"/>
  <c r="F2" i="82"/>
  <c r="A1" i="82" s="1"/>
  <c r="F3" i="82"/>
  <c r="E20" i="82"/>
  <c r="B1" i="42"/>
  <c r="B2" i="42"/>
  <c r="B3" i="42"/>
  <c r="K1" i="40"/>
  <c r="K2" i="40"/>
  <c r="K3" i="40"/>
</calcChain>
</file>

<file path=xl/sharedStrings.xml><?xml version="1.0" encoding="utf-8"?>
<sst xmlns="http://schemas.openxmlformats.org/spreadsheetml/2006/main" count="620" uniqueCount="345">
  <si>
    <t>Responsable</t>
  </si>
  <si>
    <t>N°</t>
  </si>
  <si>
    <t>Période couverte par le dossier</t>
  </si>
  <si>
    <t>Liste de diffusion</t>
  </si>
  <si>
    <t>POINTS POSITIFS</t>
  </si>
  <si>
    <t>POINTS NEGATIFS / ALERTES</t>
  </si>
  <si>
    <t>Type</t>
  </si>
  <si>
    <t>Num</t>
  </si>
  <si>
    <t>Resp</t>
  </si>
  <si>
    <t>Description du risque</t>
  </si>
  <si>
    <t>Plan d'action et commentaires</t>
  </si>
  <si>
    <t>Montant brut</t>
  </si>
  <si>
    <t>Prob.</t>
  </si>
  <si>
    <t>Montant pondéré</t>
  </si>
  <si>
    <t>Date d'ouverture</t>
  </si>
  <si>
    <t>Date fermeture</t>
  </si>
  <si>
    <t>Objectifs du projet</t>
  </si>
  <si>
    <t>Projet</t>
  </si>
  <si>
    <t>Poid brut</t>
  </si>
  <si>
    <t>Poid pondéré</t>
  </si>
  <si>
    <t>JUSTIFICATION</t>
  </si>
  <si>
    <t>Applicable :O/N</t>
  </si>
  <si>
    <t>O</t>
  </si>
  <si>
    <t>Date d'applicabilité</t>
  </si>
  <si>
    <t>Date de fin d'applicabilité</t>
  </si>
  <si>
    <t>Motif de fin d'applicabilité</t>
  </si>
  <si>
    <r>
      <t xml:space="preserve"> </t>
    </r>
    <r>
      <rPr>
        <b/>
        <sz val="10"/>
        <rFont val="Arial"/>
        <family val="2"/>
      </rPr>
      <t xml:space="preserve">DESCRIPTION </t>
    </r>
  </si>
  <si>
    <t>reference Tableau de bord</t>
  </si>
  <si>
    <t>Organisation</t>
  </si>
  <si>
    <t>Titre</t>
  </si>
  <si>
    <t>Description/ objectif</t>
  </si>
  <si>
    <t>Référence</t>
  </si>
  <si>
    <t>Indice</t>
  </si>
  <si>
    <t>Hyperlien</t>
  </si>
  <si>
    <t>date prévue de dispo</t>
  </si>
  <si>
    <t>date effective
 de dispo</t>
  </si>
  <si>
    <t>Status</t>
  </si>
  <si>
    <t>à realiser</t>
  </si>
  <si>
    <t>&gt;&gt;&gt; Documents en entrée</t>
  </si>
  <si>
    <t>&gt;&gt;&gt; Documents en sortie</t>
  </si>
  <si>
    <t>Intitulé livrable</t>
  </si>
  <si>
    <t>Description Livrable</t>
  </si>
  <si>
    <t xml:space="preserve">date prévue </t>
  </si>
  <si>
    <t xml:space="preserve">    &gt;&gt;&gt; dossier Client</t>
  </si>
  <si>
    <t xml:space="preserve">    &gt;&gt;&gt; Document de reference</t>
  </si>
  <si>
    <t>validé</t>
  </si>
  <si>
    <t xml:space="preserve">    &gt;&gt;&gt; livrables projet</t>
  </si>
  <si>
    <t>Dossier des tests solution</t>
  </si>
  <si>
    <t>Résultat de Test SOLUTION V1</t>
  </si>
  <si>
    <t>Dossier de conception A1</t>
  </si>
  <si>
    <t>Dossier de test A1</t>
  </si>
  <si>
    <t>Resultat de Test A1 V1</t>
  </si>
  <si>
    <t>Dossier de conception A2</t>
  </si>
  <si>
    <t>Dossier de conception A3</t>
  </si>
  <si>
    <t>Resultat Test A3 V1</t>
  </si>
  <si>
    <t>Resultat Test A2 V1</t>
  </si>
  <si>
    <t xml:space="preserve">    &gt;&gt;&gt; Documents developpement solution</t>
  </si>
  <si>
    <t xml:space="preserve">    &gt;&gt;&gt; Documents Utilisateurs</t>
  </si>
  <si>
    <t>Solution User manual</t>
  </si>
  <si>
    <t>RP</t>
  </si>
  <si>
    <t>RCI</t>
  </si>
  <si>
    <t>RD1</t>
  </si>
  <si>
    <t>RD2</t>
  </si>
  <si>
    <t>CLIENT</t>
  </si>
  <si>
    <t>&gt;&gt;&gt; Livrables en sortie</t>
  </si>
  <si>
    <t>Prédécesseurs</t>
  </si>
  <si>
    <t>Noms ressources</t>
  </si>
  <si>
    <t>Réaliser solution A
Se familiariser avec la gestion de projet
Mettre en œuvre des techniques diverses</t>
  </si>
  <si>
    <t>Description de l'action</t>
  </si>
  <si>
    <t>Date prévue initiale</t>
  </si>
  <si>
    <t>Date prévue courante</t>
  </si>
  <si>
    <t>Etat de l'action</t>
  </si>
  <si>
    <t>Date de cloture</t>
  </si>
  <si>
    <t>Preuve de cloture</t>
  </si>
  <si>
    <t>Commentaire</t>
  </si>
  <si>
    <t>Date d'enregistrement</t>
  </si>
  <si>
    <t>Description Exigence</t>
  </si>
  <si>
    <t>Contexte Client</t>
  </si>
  <si>
    <t>Exigences Client</t>
  </si>
  <si>
    <t>Responsable Dossier</t>
  </si>
  <si>
    <t>Titre Exigence</t>
  </si>
  <si>
    <t>Explication</t>
  </si>
  <si>
    <t>Categorie</t>
  </si>
  <si>
    <t>Gestion de projet</t>
  </si>
  <si>
    <t>Developement Projet</t>
  </si>
  <si>
    <t>DP001</t>
  </si>
  <si>
    <t>GP001</t>
  </si>
  <si>
    <t>Date de mise à jour</t>
  </si>
  <si>
    <t>ID d'exigence</t>
  </si>
  <si>
    <t>Criticité (Obligatioire/ Souhaitée/exemple)</t>
  </si>
  <si>
    <t>Methode d'acceptation</t>
  </si>
  <si>
    <t>Analyse critique du déroulement du projet</t>
  </si>
  <si>
    <t>Mise en perspectives pour les projets futurs</t>
  </si>
  <si>
    <t>Leçons apprises</t>
  </si>
  <si>
    <t>Début initial prévu</t>
  </si>
  <si>
    <t>Planning courant</t>
  </si>
  <si>
    <t xml:space="preserve">Description de l'opportunité </t>
  </si>
  <si>
    <t xml:space="preserve">Canevas réalisé par </t>
  </si>
  <si>
    <t>Gilles LEPINARD</t>
  </si>
  <si>
    <t>2021-10</t>
  </si>
  <si>
    <t>Version</t>
  </si>
  <si>
    <t>Le projet demandé par Mr Vincent Dugat consiste à développer en langage C un ensemble d’algorithmes pour résoudre le problème du voyageur de commerce (TSP). Ce problème d’optimisation combinatoire illustre plusieurs approches : exhaustive, heuristique et
évolutionnaire. L’objectif est d’appliquer les compétences en algorithmique, programmation en C, modularité, gestion de projet et tests, en suivant une méthodologie structurée.</t>
  </si>
  <si>
    <t>Parsing TSPLIB</t>
  </si>
  <si>
    <t>Le programme doit lire et interpréter les fichiers .tsp (TSPLIB95) en extrayant les champs obligatoires
(DIMENSION, NODE_COORD_SECTION, EDGE_WEIGHT_TYPE).</t>
  </si>
  <si>
    <t>Test fonctionnel sur att10.tsp, att15.tsp</t>
  </si>
  <si>
    <t>Base indispensable pour exécuter les algorithmes.</t>
  </si>
  <si>
    <t>DP002</t>
  </si>
  <si>
    <t>Calcul des distances</t>
  </si>
  <si>
    <t>Le programme doit calculer les distances entre villes selon la métrique définie dans le fichier (EUC_2D, ATT, GEO).</t>
  </si>
  <si>
    <t>Vérification des résultats sur cas
simples et validation avec solutions
connues</t>
  </si>
  <si>
    <t>Garantit la cohérence des algorithmes.</t>
  </si>
  <si>
    <t>DP003</t>
  </si>
  <si>
    <t>Algorithme brute
force (BF)</t>
  </si>
  <si>
    <t>Test sur att10.tsp (résultat = optimum connu).</t>
  </si>
  <si>
    <t>Sert de référence pour les petites instances.</t>
  </si>
  <si>
    <t>DP004</t>
  </si>
  <si>
    <t>Algorithme brute
force avec matrice (BFM)</t>
  </si>
  <si>
    <t>Le programme doit calculer l’optimum en utilisant une matrice de distances.</t>
  </si>
  <si>
    <t>Vcomparaison résultats avec DP003.</t>
  </si>
  <si>
    <t>Variante optimisée en mémoire.</t>
  </si>
  <si>
    <t>DP005</t>
  </si>
  <si>
    <t>Algorithme plus proche voisin
(NN)</t>
  </si>
  <si>
    <t>Le programme doit générer une tournée valide en partant d’un sommet et en choisissant à chaque
étape le voisin le plus proche.</t>
  </si>
  <si>
    <t>Vérification tournée valide
+ comparaison avec optimum
connu (att15.tsp).</t>
  </si>
  <si>
    <t>Vheuristique rapide.</t>
  </si>
  <si>
    <t>DP006</t>
  </si>
  <si>
    <t xml:space="preserve"> Random Walk (RW)</t>
  </si>
  <si>
    <t>Le programme doit générer une tournée aléatoire valide en visitant toutes les villes.</t>
  </si>
  <si>
    <t>Test sur att15.tsp (validité tournée).</t>
  </si>
  <si>
    <t>gSert de base pour 2-opt.</t>
  </si>
  <si>
    <t>DP007</t>
  </si>
  <si>
    <t>Optimisation locale 2-opt</t>
  </si>
  <si>
    <t>Le programme doit améliorer une tournée (NN ou RW) par la méthode 2-opt pour réduire les croisements</t>
  </si>
  <si>
    <t>Vérification que le coût de la tournée
est réduit par rapport à la tournée
initiale.</t>
  </si>
  <si>
    <t>Méthode d’amélioration.</t>
  </si>
  <si>
    <t>DP008</t>
  </si>
  <si>
    <t>Algorithme génétique (GA)</t>
  </si>
  <si>
    <t>Le programme doit implémenter un algorithme génétique avec paramètres (population, générations,
taux mutation) choisi par les membres du groupe.</t>
  </si>
  <si>
    <t>Test convergence sur att48.tsp avec
affichage résultats CSV.</t>
  </si>
  <si>
    <t>Métaheuristique</t>
  </si>
  <si>
    <t>DP009</t>
  </si>
  <si>
    <t>Algorithme génétique
DPX (GADPX)</t>
  </si>
  <si>
    <t>Le programme doit implémenter une variante GA avec croisement DPX.</t>
  </si>
  <si>
    <t>Test sur att48.tsp et comparaison
avec GA classique.</t>
  </si>
  <si>
    <t>Introduit une diversité accrue.</t>
  </si>
  <si>
    <t>DP010</t>
  </si>
  <si>
    <t>Mode ALL</t>
  </si>
  <si>
    <t>Le programme doit exécuter toutes les méthodes disponibles et générer un fichier CSV consolidé.</t>
  </si>
  <si>
    <t>Vérification sur att15.tsp (résultats
multiples).</t>
  </si>
  <si>
    <t>Permet la comparaison globale.</t>
  </si>
  <si>
    <t>DP011</t>
  </si>
  <si>
    <t xml:space="preserve">Interface CLI </t>
  </si>
  <si>
    <t>Le programme doit être utilisable en CLI (Command Line Interface) avec les options -f, -m, -o, -h.</t>
  </si>
  <si>
    <t>Exécution ./tsp -h et test erreurs si
options manquantes.</t>
  </si>
  <si>
    <t>Interface utilisateur imposée par le cahier des charges</t>
  </si>
  <si>
    <t>DP012</t>
  </si>
  <si>
    <t>Export CSV</t>
  </si>
  <si>
    <t>Le programme doit générer un fichier CSV contenant : Instance, Méthode, Temps, Longueur, Tournée.</t>
  </si>
  <si>
    <t>Vérification fichier généré et conformité
format.</t>
  </si>
  <si>
    <t>Livrable attendu.</t>
  </si>
  <si>
    <t xml:space="preserve"> CC1 - Cahier des
charges</t>
  </si>
  <si>
    <t>L’équipe doit produire un cahier des charges et une planification initiale.</t>
  </si>
  <si>
    <t>Remise document CC1.</t>
  </si>
  <si>
    <t>Premier jalon validant la capture du besoin.</t>
  </si>
  <si>
    <t>GP002</t>
  </si>
  <si>
    <t>CC2 - Prototype partiel</t>
  </si>
  <si>
    <t>L’équipe doit livrer parsing, distances, BF, NN et un premier export CSV.</t>
  </si>
  <si>
    <t>Démonstration lors de la séance CC2.</t>
  </si>
  <si>
    <t>Vérifie la progression.</t>
  </si>
  <si>
    <t>GP003</t>
  </si>
  <si>
    <t>CC3 - Algorithmes
heuristiques</t>
  </si>
  <si>
    <t>L’équipe doit livrer RW, 2-opt, GA et rapport comparatif.</t>
  </si>
  <si>
    <t>Démonstration lors de la séance CC3.</t>
  </si>
  <si>
    <t>Montre l’évolution du projet</t>
  </si>
  <si>
    <t>GP004</t>
  </si>
  <si>
    <t>CC4 - Recette finale</t>
  </si>
  <si>
    <t>L’équipe doit livrer l’exécutable final avec toutes les méthodes, le Makefile et la documentation.</t>
  </si>
  <si>
    <t>Soutenance + recette CC4</t>
  </si>
  <si>
    <t>Livrable final.</t>
  </si>
  <si>
    <t>GP005</t>
  </si>
  <si>
    <t xml:space="preserve">Qualité du code </t>
  </si>
  <si>
    <t>Le code doit être clair, commenté et modulaire (Makefile, séparation modules).</t>
  </si>
  <si>
    <t>Revue de code par
l’enseignant.</t>
  </si>
  <si>
    <t>Garantit la maintenabilité.</t>
  </si>
  <si>
    <t>GP006</t>
  </si>
  <si>
    <t xml:space="preserve">Tests &amp; validation </t>
  </si>
  <si>
    <t>L’équipe doit définir et exécuter un plan de tests (att10, att15, att48).</t>
  </si>
  <si>
    <t>Vérification résultats.</t>
  </si>
  <si>
    <t>Assure fiabilité du logiciel</t>
  </si>
  <si>
    <t>GP007</t>
  </si>
  <si>
    <t>Organisation équipe</t>
  </si>
  <si>
    <t>Chaque membre doit assumer ses responsabilités</t>
  </si>
  <si>
    <t>Évaluation lors des jalons.</t>
  </si>
  <si>
    <t>Répartition équilibrée des tâches.</t>
  </si>
  <si>
    <t>GP008</t>
  </si>
  <si>
    <t>ID de la tache</t>
  </si>
  <si>
    <t>Nom de la tache</t>
  </si>
  <si>
    <t>Fin initial prévue</t>
  </si>
  <si>
    <t xml:space="preserve">Travail initial prévu </t>
  </si>
  <si>
    <t>21hj</t>
  </si>
  <si>
    <t>Cadrage et conception</t>
  </si>
  <si>
    <t>3hj</t>
  </si>
  <si>
    <t>Capture du besoin &amp; cahier des charges.</t>
  </si>
  <si>
    <t>-</t>
  </si>
  <si>
    <t>RP[50%] , DD[25%] ,DW[25%]</t>
  </si>
  <si>
    <t>1hj</t>
  </si>
  <si>
    <t>PBS/WBS/OBS &amp; planning.</t>
  </si>
  <si>
    <t>RP[25%] , DD[50%] ,DW[25%]</t>
  </si>
  <si>
    <t>2hj</t>
  </si>
  <si>
    <t>Socle &amp; Premiers Algorithmes</t>
  </si>
  <si>
    <t>7,4hj</t>
  </si>
  <si>
    <t>Parsing fichiers TSPLIB.</t>
  </si>
  <si>
    <t>DR[33%] , DD[33%] ,DW[33%]</t>
  </si>
  <si>
    <t>4hh</t>
  </si>
  <si>
    <t>Calcul des distances (EUC_2D, ATT, GEO).</t>
  </si>
  <si>
    <t>Implémentation brute force (bf) et brute force avec matrice (bfm).</t>
  </si>
  <si>
    <t>Implémentation plus proche voisin (nn).</t>
  </si>
  <si>
    <t>Interface CLI (première version).</t>
  </si>
  <si>
    <t>7 ;8 ;9</t>
  </si>
  <si>
    <t>DR[50%] , DD[50%] </t>
  </si>
  <si>
    <t>3hh</t>
  </si>
  <si>
    <t>Export CSV (première version).</t>
  </si>
  <si>
    <t>8 ;9 ;10</t>
  </si>
  <si>
    <t>DW[100%]</t>
  </si>
  <si>
    <t>Jeux de tests att10, att15.</t>
  </si>
  <si>
    <t>7 ;8 ;9 ;10</t>
  </si>
  <si>
    <t>2hh</t>
  </si>
  <si>
    <t>Heuristiques &amp; GA</t>
  </si>
  <si>
    <t>5,4hj</t>
  </si>
  <si>
    <t>Implémentation Random Walk (rw).</t>
  </si>
  <si>
    <t>Implémentation 2-opt (nn/rw).</t>
  </si>
  <si>
    <t>7 ;9 ;14</t>
  </si>
  <si>
    <t>6hh</t>
  </si>
  <si>
    <t>Implémentation Algorithme Génétique (GA).</t>
  </si>
  <si>
    <t>7 </t>
  </si>
  <si>
    <t>Export CSV (version enrichie).</t>
  </si>
  <si>
    <t>10 ;14 ;15 ;16</t>
  </si>
  <si>
    <t>Tests sur att48 + comparaison avec optimum.</t>
  </si>
  <si>
    <t>14 ;15 ;16</t>
  </si>
  <si>
    <t>Finalisation et recette</t>
  </si>
  <si>
    <t>5,2hj</t>
  </si>
  <si>
    <t>Implémentation GA-DPX.</t>
  </si>
  <si>
    <t>7 ;16</t>
  </si>
  <si>
    <t>Implémentation mode ALL.</t>
  </si>
  <si>
    <t>8 ;9 ;10 ;14 ;15 ;</t>
  </si>
  <si>
    <t>16 ;20</t>
  </si>
  <si>
    <t>Makefile &amp; qualité (organisation code, commentaires, modularité).</t>
  </si>
  <si>
    <t>Tests de scalabilité (instances plus grandes).</t>
  </si>
  <si>
    <t>Recette finale &amp; documentation utilisateur (README).</t>
  </si>
  <si>
    <t>6 jusqu’à 23</t>
  </si>
  <si>
    <t>Prédé-cesseurs</t>
  </si>
  <si>
    <t>Prédé-</t>
  </si>
  <si>
    <t>Période du 12.09.2025 au 01.10.2025</t>
  </si>
  <si>
    <t>Période du 02.10.2025 au 11.10.2025</t>
  </si>
  <si>
    <t>Période du 13.10 au 19.10.2025</t>
  </si>
  <si>
    <t>Période du 20.10.2025 au 26.10.2025</t>
  </si>
  <si>
    <t>Période du 03.11.2025 au 09.11.2024</t>
  </si>
  <si>
    <t>Période du 10.11.2025 au 16.11.12025</t>
  </si>
  <si>
    <t>Période du 17.11.12025 au 23.11.12025</t>
  </si>
  <si>
    <t>Période du 24.11.12025 au 30.11.12025</t>
  </si>
  <si>
    <t>Période du 01.12.2025 au 07.12.2025</t>
  </si>
  <si>
    <t>Période du 08.12.2025 au 14.12.2025</t>
  </si>
  <si>
    <t>Période du 15.12.2025 au 21.12.2025</t>
  </si>
  <si>
    <t>Gihalu Russel</t>
  </si>
  <si>
    <t>Probleme du voyageur</t>
  </si>
  <si>
    <t xml:space="preserve">Gihalu Russel  (Responsable du projet + Developpeur)
Dunant Tonfack (Developpeur)
Wassim Gaha (Developpeur)
</t>
  </si>
  <si>
    <t>Planning initial de reférence</t>
  </si>
  <si>
    <t>Flexibilité</t>
  </si>
  <si>
    <t>Implémentation plus proche voisin (nn)</t>
  </si>
  <si>
    <t>Interface  CLI (première version)</t>
  </si>
  <si>
    <t xml:space="preserve">Export CSV  (première version) </t>
  </si>
  <si>
    <t xml:space="preserve"> confectionner un powerpoint</t>
  </si>
  <si>
    <t xml:space="preserve">Jeux de tests </t>
  </si>
  <si>
    <t>2jh</t>
  </si>
  <si>
    <t>DR[100%]</t>
  </si>
  <si>
    <t>DD[100%] </t>
  </si>
  <si>
    <t>12'</t>
  </si>
  <si>
    <t xml:space="preserve">12/09/2025 =&gt; 12/12/2025
</t>
  </si>
  <si>
    <t>14'</t>
  </si>
  <si>
    <t>Implémenter les manques demandés par le professeur sur le premier CC2</t>
  </si>
  <si>
    <t>Beaucoup plus utilisé par le s membres du groupe</t>
  </si>
  <si>
    <t>Fin du projet</t>
  </si>
  <si>
    <t>Monter un powerpoint pour notre présentation</t>
  </si>
  <si>
    <t>DD</t>
  </si>
  <si>
    <t>DD,DR,DW</t>
  </si>
  <si>
    <t>Projet sur une courte période</t>
  </si>
  <si>
    <t>1. Excellent travail d’équipe. Tout le monde s’est pleinement investi pour faire avancer le projet.</t>
  </si>
  <si>
    <t>1. L’organisation a été un peu difficile. Il a été compliqué de fixer des rendez-vous de travail en raison des différences d’emplois du temps.</t>
  </si>
  <si>
    <t>1. Tout s’est bien passé : chacun a accompli ses tâches hebdomadaires avec succès et dans les délais.</t>
  </si>
  <si>
    <t>1. Nous avons réussi à effectuer nos tests malgré la difficulté à trouver un créneau commun.</t>
  </si>
  <si>
    <t>1. Problème d’organisation : nous avons eu du mal à trouver un compromis concernant l’horaire de notre rendez-vous, car nous avions tous des contrôles continus.</t>
  </si>
  <si>
    <t>1. Un membre du groupe s’est porté volontaire pour reprendre la tâche qui n’avait pas pu être réalisée par la personne à qui elle avait été attribuée</t>
  </si>
  <si>
    <t>1. Problème d’organisation : le membre du groupe chargé de préparer le PowerPoint a eu un empêchement.</t>
  </si>
  <si>
    <t>2. Congés : le projet a été mis en pause pendant une courte période.</t>
  </si>
  <si>
    <t>1. Nous nous sommes adaptés à l’apparition de nouvelles tâches dans le projet.</t>
  </si>
  <si>
    <t>1. De nouvelles tâches sont apparues dans le projet. Nous avons rencontré des difficultés d’organisation pour les répartir : qui devait faire quoi ?</t>
  </si>
  <si>
    <t>1. Le planning n’a pas été respecté à la lettre en raison des contrôles continus dans d’autres UE.</t>
  </si>
  <si>
    <t>1. La semaine s'est bien passée  on  a tous bien accompli  nos tâches dans les temps</t>
  </si>
  <si>
    <t>2. La présentation du CC3 s'est bien passée</t>
  </si>
  <si>
    <t>1. Petite pause sur le projet à cause des contrôles continues dans d'autres UE</t>
  </si>
  <si>
    <t xml:space="preserve">Travail initial prévu (hj) </t>
  </si>
  <si>
    <t>Manque de disponibilité des membres (examens, autres projets, emplois du temps chargés)</t>
  </si>
  <si>
    <t>Difficulté à obtenir un rendez-vous avec l’enseignant/tuteur</t>
  </si>
  <si>
    <t>Mauvaise compréhension des consignes ou critères d’évaluation académiques</t>
  </si>
  <si>
    <t>Planification tenant compte du calendrier scolaire, répartition flexible des tâches, communication proactive</t>
  </si>
  <si>
    <t>Réserver des créneaux en avance, envoyer des synthèses, prévoir des décisions par défaut pour éviter les blocages</t>
  </si>
  <si>
    <t>Relire et clarifier les critères, faire valider les livrables intermédiaires, tracer les décisions et consignes</t>
  </si>
  <si>
    <t>Retour rapide de l’enseignant permettant de corriger la trajectoire tôt</t>
  </si>
  <si>
    <t>Bonne répartition des rôles dans l’équipe grâce au cadre encadré</t>
  </si>
  <si>
    <t>Possibilité d’obtenir une aide technique ou méthodologique extérieure (enseignants, ressources, camarades)</t>
  </si>
  <si>
    <t>Préparer des documents clairs, demander des feedbacks ciblés, intégrer immédiatement les corrections</t>
  </si>
  <si>
    <t>Assigner les responsabilités, utiliser OBS/WBS, suivre l’avancement par rôle</t>
  </si>
  <si>
    <t>Élevée</t>
  </si>
  <si>
    <t>Moyenne</t>
  </si>
  <si>
    <t>Créer le dépôt Git pour le projet</t>
  </si>
  <si>
    <t>DR</t>
  </si>
  <si>
    <t>Lien Git : https://github.com/ngouadjeudunant-ux/tsp_projet_2025.git</t>
  </si>
  <si>
    <t xml:space="preserve">Créer un groupe Whatsapp </t>
  </si>
  <si>
    <t>Done</t>
  </si>
  <si>
    <t>Lancer et Diriger une réunion tous les dimanches</t>
  </si>
  <si>
    <t>In Progress</t>
  </si>
  <si>
    <t>Faire les modifications  demandées par le proffesseur sur le CC2</t>
  </si>
  <si>
    <t>CC4(recette finale)</t>
  </si>
  <si>
    <t xml:space="preserve"> Cahier de charge</t>
  </si>
  <si>
    <t xml:space="preserve">CC1  </t>
  </si>
  <si>
    <t xml:space="preserve">CC2 </t>
  </si>
  <si>
    <t>Recette indermédiare constituée des premiers algorithmes</t>
  </si>
  <si>
    <t>CC3</t>
  </si>
  <si>
    <t>Recette indermédiare constituée des prochains algorithmes</t>
  </si>
  <si>
    <t>Tout le projet</t>
  </si>
  <si>
    <t>Cahier de charge</t>
  </si>
  <si>
    <t>Cours UE Projet avancé</t>
  </si>
  <si>
    <t>M. Gilles Lepinard</t>
  </si>
  <si>
    <t>Cours Programmation en C</t>
  </si>
  <si>
    <t xml:space="preserve">M.  Detlef Justen </t>
  </si>
  <si>
    <t>CC1</t>
  </si>
  <si>
    <t>CC2</t>
  </si>
  <si>
    <t>CC4</t>
  </si>
  <si>
    <t>Canvas complet</t>
  </si>
  <si>
    <t>Le déroulement du projet a été globalement satisfaisant, mais marqué par plusieurs difficultés organisationnelles. La gestion simultanée des contrôles continus dans d’autres UE a fortement perturbé notre capacité à maintenir un rythme de travail régulier. Cela a entraîné des retards, des réajustements de planning et parfois une baisse de disponibilité des membres.
Nous avons également constaté qu'il est complexe de coordonner efficacement un groupe : les emplois du temps différents, les niveaux d’implication variables et la communication parfois insuffisante ont provoqué des moments de désalignement.
Par ailleurs, notre estimation initiale de la charge de certaines tâches s’est révélée trop optimiste, ce qui a ajouté une pression supplémentaire en fin de sprint ou avant les échéances. Malgré cela, l’équipe a su s’adapter, restructurer certaines actions et maintenir une dynamique de progression grâce à un engagement collectif.</t>
  </si>
  <si>
    <t>1. L’importance d’une planification réaliste, tenant compte des périodes chargées et contraintes académiques.
2. La nécessité d’une communication constante entre les membres afin d’éviter les malentendus et les blocages.
3. La découverte que gérer une équipe n’est pas simple : cela demande un leadership partagé, de la flexibilité et de la compréhension mutuelle.
4. Le travail en groupe a renforcé notre capacité à collaborer, à répartir les responsabilités et à maintenir un suivi collectif.
5. Enfin, nous avons appris à décomposer le travail (WBS) et à évaluer plus précisément la charge réelle de chaque tâche, évitant ainsi l’optimisme excessif.</t>
  </si>
  <si>
    <r>
      <rPr>
        <sz val="12"/>
        <rFont val="Arial"/>
        <family val="2"/>
      </rPr>
      <t xml:space="preserve">1. Anticiper davantage les périodes critiques (examens, devoirs, semaines intenses) pour ajuster la charge de travail et éviter les retards.             
2. Mettre en place un système de suivi plus rigoureux (réunions courtes mais fréquentes, tableau de bord simple) afin de garder une vision claire de l’avancement.
3.  Continuer à améliorer la communication interne afin de résoudre les problèmes plus rapidement et maintenir une bonne cohésion d’équipe. </t>
    </r>
    <r>
      <rPr>
        <sz val="8"/>
        <rFont val="Arial"/>
        <family val="2"/>
      </rPr>
      <t xml:space="preserve">                                                                                                                                                                         </t>
    </r>
  </si>
  <si>
    <t>L'équipe doit travailler sur GihHub.  (Voir action numéro 1)</t>
  </si>
  <si>
    <t>L'équipe doit communiquer sur whassap . (Voir action numéro 2)</t>
  </si>
  <si>
    <t>L'équipe doit faire un bilan hebdomadaire tous les dimanches. (Voir action numéro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</si>
</sst>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7">
    <numFmt numFmtId="164" formatCode="_-* #,##0\ &quot;F&quot;_-;\-* #,##0\ &quot;F&quot;_-;_-* &quot;-&quot;\ &quot;F&quot;_-;_-@_-"/>
    <numFmt numFmtId="165" formatCode="_-* #,##0\ _F_-;\-* #,##0\ _F_-;_-* &quot;-&quot;\ _F_-;_-@_-"/>
    <numFmt numFmtId="166" formatCode="#,##0&quot; h&quot;"/>
    <numFmt numFmtId="167" formatCode="mmm&quot; &quot;yy"/>
    <numFmt numFmtId="168" formatCode="#,##0.0&quot; déf/kLoc&quot;"/>
    <numFmt numFmtId="169" formatCode="#,##0.0&quot; h/déf&quot;"/>
    <numFmt numFmtId="170" formatCode="??0&quot; %&quot;"/>
    <numFmt numFmtId="171" formatCode="_-* #,##0.00\ [$€-1]_-;\-* #,##0.00\ [$€-1]_-;_-* &quot;-&quot;??\ [$€-1]_-"/>
    <numFmt numFmtId="172" formatCode="0.000"/>
    <numFmt numFmtId="173" formatCode="#\ ##0.##\j"/>
    <numFmt numFmtId="174" formatCode="#,##0_ ;[Red]\-#,##0\ "/>
    <numFmt numFmtId="175" formatCode="#,###,##0;[Red]\(#,###,##0\)"/>
    <numFmt numFmtId="176" formatCode="\$#,##0;[Red]&quot;-$&quot;#,##0"/>
    <numFmt numFmtId="177" formatCode="0.0_)"/>
    <numFmt numFmtId="178" formatCode="\£#,##0;&quot;-£&quot;#,##0"/>
    <numFmt numFmtId="179" formatCode="\£#,##0;[Red]&quot;-£&quot;#,##0"/>
    <numFmt numFmtId="180" formatCode="&quot;Qty &quot;#_]"/>
    <numFmt numFmtId="181" formatCode="&quot;Station  &quot;#&quot;  Total Each :- &quot;"/>
    <numFmt numFmtId="182" formatCode="&quot;Station  &quot;#&quot; Grand Total :-&quot;"/>
    <numFmt numFmtId="183" formatCode="&quot;Item  &quot;#.##&quot;  Total  :-&quot;"/>
    <numFmt numFmtId="184" formatCode="#__\x_]"/>
    <numFmt numFmtId="185" formatCode="0.0"/>
    <numFmt numFmtId="186" formatCode="dd/mm/yy"/>
    <numFmt numFmtId="187" formatCode="#,##0.0"/>
    <numFmt numFmtId="188" formatCode="_-* #,##0.00\ [$€]_-;\-* #,##0.00\ [$€]_-;_-* &quot;-&quot;??\ [$€]_-;_-@_-"/>
    <numFmt numFmtId="189" formatCode="#,##0\ &quot;€&quot;"/>
    <numFmt numFmtId="190" formatCode="dd/mm/yy;@"/>
  </numFmts>
  <fonts count="104">
    <font>
      <sz val="10"/>
      <name val="Arial"/>
    </font>
    <font>
      <sz val="11"/>
      <color theme="1"/>
      <name val="Calibri"/>
      <family val="2"/>
      <scheme val="minor"/>
    </font>
    <font>
      <sz val="11"/>
      <color theme="1"/>
      <name val="Calibri"/>
      <family val="2"/>
      <scheme val="minor"/>
    </font>
    <font>
      <sz val="10"/>
      <name val="Arial"/>
    </font>
    <font>
      <b/>
      <sz val="10"/>
      <name val="Arial"/>
      <family val="2"/>
    </font>
    <font>
      <sz val="10"/>
      <name val="Arial"/>
      <family val="2"/>
    </font>
    <font>
      <b/>
      <sz val="14"/>
      <name val="Arial"/>
      <family val="2"/>
    </font>
    <font>
      <b/>
      <sz val="12"/>
      <name val="Arial"/>
      <family val="2"/>
    </font>
    <font>
      <b/>
      <sz val="18"/>
      <name val="Arial"/>
      <family val="2"/>
    </font>
    <font>
      <sz val="8"/>
      <name val="MS Sans Serif"/>
      <family val="2"/>
    </font>
    <font>
      <sz val="8"/>
      <name val="Arial"/>
      <family val="2"/>
    </font>
    <font>
      <sz val="8"/>
      <name val="Arial"/>
      <family val="2"/>
    </font>
    <font>
      <b/>
      <sz val="10"/>
      <name val="Arial"/>
      <family val="2"/>
    </font>
    <font>
      <b/>
      <sz val="8"/>
      <name val="Arial"/>
      <family val="2"/>
    </font>
    <font>
      <sz val="9"/>
      <name val="Arial"/>
      <family val="2"/>
    </font>
    <font>
      <b/>
      <sz val="9"/>
      <name val="Arial"/>
      <family val="2"/>
    </font>
    <font>
      <sz val="12"/>
      <name val="Arial"/>
      <family val="2"/>
    </font>
    <font>
      <sz val="14"/>
      <name val="Arial"/>
      <family val="2"/>
    </font>
    <font>
      <b/>
      <i/>
      <sz val="10"/>
      <name val="Arial"/>
      <family val="2"/>
    </font>
    <font>
      <b/>
      <sz val="11"/>
      <name val="Arial"/>
      <family val="2"/>
    </font>
    <font>
      <b/>
      <sz val="14"/>
      <name val="Arial"/>
      <family val="2"/>
    </font>
    <font>
      <b/>
      <i/>
      <sz val="14"/>
      <name val="Arial"/>
      <family val="2"/>
    </font>
    <font>
      <u/>
      <sz val="10"/>
      <color indexed="12"/>
      <name val="Arial"/>
      <family val="2"/>
    </font>
    <font>
      <u/>
      <sz val="10"/>
      <color indexed="36"/>
      <name val="Arial"/>
      <family val="2"/>
    </font>
    <font>
      <i/>
      <sz val="12"/>
      <name val="Arial"/>
      <family val="2"/>
    </font>
    <font>
      <b/>
      <sz val="11"/>
      <color indexed="14"/>
      <name val="Arial"/>
      <family val="2"/>
    </font>
    <font>
      <sz val="8"/>
      <color indexed="9"/>
      <name val="Arial"/>
      <family val="2"/>
    </font>
    <font>
      <b/>
      <sz val="12"/>
      <color indexed="12"/>
      <name val="Arial"/>
      <family val="2"/>
    </font>
    <font>
      <b/>
      <sz val="8"/>
      <color indexed="12"/>
      <name val="Arial"/>
      <family val="2"/>
    </font>
    <font>
      <b/>
      <sz val="12"/>
      <color indexed="10"/>
      <name val="MS Sans Serif"/>
      <family val="2"/>
    </font>
    <font>
      <sz val="12"/>
      <name val="Times New Roman"/>
      <family val="1"/>
    </font>
    <font>
      <b/>
      <sz val="12"/>
      <name val="Arial"/>
      <family val="2"/>
    </font>
    <font>
      <i/>
      <sz val="12"/>
      <name val="Arial"/>
      <family val="2"/>
    </font>
    <font>
      <sz val="8"/>
      <color indexed="15"/>
      <name val="MS Sans Serif"/>
      <family val="2"/>
    </font>
    <font>
      <sz val="14"/>
      <color indexed="9"/>
      <name val="Arial"/>
      <family val="2"/>
    </font>
    <font>
      <sz val="10"/>
      <name val="Courier"/>
      <family val="3"/>
    </font>
    <font>
      <sz val="10"/>
      <name val="MS Sans Serif"/>
      <family val="2"/>
    </font>
    <font>
      <b/>
      <sz val="10"/>
      <name val="MS Sans Serif"/>
      <family val="2"/>
    </font>
    <font>
      <b/>
      <sz val="12"/>
      <color indexed="8"/>
      <name val="Arial"/>
      <family val="2"/>
    </font>
    <font>
      <b/>
      <i/>
      <sz val="12"/>
      <color indexed="8"/>
      <name val="Arial"/>
      <family val="2"/>
    </font>
    <font>
      <sz val="12"/>
      <color indexed="8"/>
      <name val="Arial"/>
      <family val="2"/>
    </font>
    <font>
      <sz val="10"/>
      <color indexed="8"/>
      <name val="Arial"/>
      <family val="2"/>
    </font>
    <font>
      <i/>
      <sz val="12"/>
      <color indexed="8"/>
      <name val="Arial"/>
      <family val="2"/>
    </font>
    <font>
      <sz val="8"/>
      <color indexed="8"/>
      <name val="Tahoma"/>
      <family val="2"/>
    </font>
    <font>
      <sz val="19"/>
      <color indexed="48"/>
      <name val="Arial"/>
      <family val="2"/>
    </font>
    <font>
      <sz val="12"/>
      <color indexed="14"/>
      <name val="Arial"/>
      <family val="2"/>
    </font>
    <font>
      <sz val="8"/>
      <color indexed="9"/>
      <name val="Arial"/>
      <family val="2"/>
    </font>
    <font>
      <b/>
      <sz val="8"/>
      <name val="Arial"/>
      <family val="2"/>
    </font>
    <font>
      <sz val="8"/>
      <name val="Times New Roman"/>
      <family val="1"/>
    </font>
    <font>
      <u/>
      <sz val="12"/>
      <name val="Arial"/>
      <family val="2"/>
    </font>
    <font>
      <b/>
      <sz val="8.5"/>
      <name val="LinePrinter"/>
    </font>
    <font>
      <u/>
      <sz val="12"/>
      <color indexed="12"/>
      <name val="Courier New"/>
      <family val="3"/>
    </font>
    <font>
      <sz val="11"/>
      <color indexed="8"/>
      <name val="Arial"/>
      <family val="2"/>
    </font>
    <font>
      <b/>
      <i/>
      <sz val="12"/>
      <color indexed="8"/>
      <name val="Arial"/>
      <family val="2"/>
    </font>
    <font>
      <b/>
      <sz val="11"/>
      <color indexed="63"/>
      <name val="Arial"/>
      <family val="2"/>
    </font>
    <font>
      <sz val="11"/>
      <color indexed="8"/>
      <name val="Calibri"/>
      <family val="2"/>
    </font>
    <font>
      <sz val="11"/>
      <color indexed="9"/>
      <name val="Calibri"/>
      <family val="2"/>
    </font>
    <font>
      <sz val="11"/>
      <color indexed="10"/>
      <name val="Calibri"/>
      <family val="2"/>
    </font>
    <font>
      <b/>
      <sz val="11"/>
      <color indexed="52"/>
      <name val="Calibri"/>
      <family val="2"/>
    </font>
    <font>
      <sz val="11"/>
      <color indexed="52"/>
      <name val="Calibri"/>
      <family val="2"/>
    </font>
    <font>
      <sz val="11"/>
      <color indexed="62"/>
      <name val="Calibri"/>
      <family val="2"/>
    </font>
    <font>
      <sz val="11"/>
      <color indexed="20"/>
      <name val="Calibri"/>
      <family val="2"/>
    </font>
    <font>
      <sz val="11"/>
      <color indexed="60"/>
      <name val="Calibri"/>
      <family val="2"/>
    </font>
    <font>
      <sz val="11"/>
      <color indexed="17"/>
      <name val="Calibri"/>
      <family val="2"/>
    </font>
    <font>
      <b/>
      <sz val="11"/>
      <color indexed="63"/>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b/>
      <sz val="11"/>
      <color indexed="9"/>
      <name val="Calibri"/>
      <family val="2"/>
    </font>
    <font>
      <u/>
      <sz val="10"/>
      <color indexed="12"/>
      <name val="Arial"/>
      <family val="2"/>
    </font>
    <font>
      <b/>
      <sz val="10"/>
      <name val="MS Sans"/>
      <family val="2"/>
    </font>
    <font>
      <sz val="8"/>
      <name val="MS Sans Serif"/>
      <family val="2"/>
    </font>
    <font>
      <u/>
      <sz val="6"/>
      <color indexed="12"/>
      <name val="Arial"/>
      <family val="2"/>
    </font>
    <font>
      <strike/>
      <sz val="10"/>
      <name val="Arial"/>
      <family val="2"/>
    </font>
    <font>
      <sz val="10"/>
      <color indexed="62"/>
      <name val="Arial"/>
      <family val="2"/>
    </font>
    <font>
      <sz val="10"/>
      <name val="Arial Cyr"/>
      <family val="2"/>
      <charset val="204"/>
    </font>
    <font>
      <b/>
      <i/>
      <u/>
      <sz val="10"/>
      <color indexed="10"/>
      <name val="Arial"/>
      <family val="2"/>
    </font>
    <font>
      <sz val="10"/>
      <name val="Arial"/>
      <family val="2"/>
    </font>
    <font>
      <sz val="10"/>
      <name val="Arial"/>
      <family val="2"/>
    </font>
    <font>
      <u/>
      <sz val="6"/>
      <color indexed="12"/>
      <name val="Arial"/>
      <family val="2"/>
    </font>
    <font>
      <sz val="8"/>
      <name val="MS Sans Serif"/>
      <family val="2"/>
    </font>
    <font>
      <sz val="8"/>
      <name val="Arial"/>
      <family val="2"/>
    </font>
    <font>
      <b/>
      <sz val="12"/>
      <color indexed="12"/>
      <name val="Arial"/>
      <family val="2"/>
    </font>
    <font>
      <sz val="8"/>
      <color indexed="15"/>
      <name val="MS Sans Serif"/>
      <family val="2"/>
    </font>
    <font>
      <sz val="8"/>
      <color indexed="9"/>
      <name val="Arial"/>
      <family val="2"/>
    </font>
    <font>
      <b/>
      <sz val="8"/>
      <name val="Arial"/>
      <family val="2"/>
    </font>
    <font>
      <sz val="8"/>
      <name val="Times New Roman"/>
      <family val="1"/>
    </font>
    <font>
      <sz val="11"/>
      <name val="ＭＳ "/>
      <family val="3"/>
      <charset val="128"/>
    </font>
    <font>
      <sz val="10"/>
      <color indexed="10"/>
      <name val="Arial"/>
      <family val="2"/>
    </font>
    <font>
      <b/>
      <i/>
      <sz val="32"/>
      <name val="Arial MT"/>
      <family val="2"/>
    </font>
    <font>
      <sz val="11"/>
      <color theme="1"/>
      <name val="Arial"/>
      <family val="2"/>
    </font>
    <font>
      <sz val="11"/>
      <color theme="1"/>
      <name val="Calibri"/>
      <family val="2"/>
      <scheme val="minor"/>
    </font>
    <font>
      <b/>
      <sz val="16"/>
      <name val="Calibri Light"/>
      <family val="2"/>
    </font>
    <font>
      <sz val="11"/>
      <name val="Arial"/>
      <family val="2"/>
    </font>
    <font>
      <sz val="10"/>
      <color rgb="FF000000"/>
      <name val="Calibri Light"/>
      <family val="2"/>
    </font>
    <font>
      <b/>
      <sz val="10"/>
      <color rgb="FF000000"/>
      <name val="Calibri Light"/>
      <family val="2"/>
    </font>
    <font>
      <b/>
      <sz val="10"/>
      <name val="Calibri Light"/>
      <family val="2"/>
    </font>
    <font>
      <sz val="10"/>
      <name val="Calibri Light"/>
      <family val="2"/>
    </font>
    <font>
      <sz val="20"/>
      <name val="Arial"/>
      <family val="2"/>
    </font>
    <font>
      <sz val="12"/>
      <color rgb="FF000000"/>
      <name val="Calibri Light"/>
      <family val="2"/>
    </font>
    <font>
      <sz val="14"/>
      <color rgb="FF000000"/>
      <name val="Calibri Light"/>
      <family val="2"/>
    </font>
  </fonts>
  <fills count="82">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31"/>
        <bgColor indexed="58"/>
      </patternFill>
    </fill>
    <fill>
      <patternFill patternType="solid">
        <fgColor indexed="45"/>
        <bgColor indexed="33"/>
      </patternFill>
    </fill>
    <fill>
      <patternFill patternType="solid">
        <fgColor indexed="42"/>
        <bgColor indexed="27"/>
      </patternFill>
    </fill>
    <fill>
      <patternFill patternType="solid">
        <fgColor indexed="46"/>
        <bgColor indexed="33"/>
      </patternFill>
    </fill>
    <fill>
      <patternFill patternType="solid">
        <fgColor indexed="27"/>
        <bgColor indexed="42"/>
      </patternFill>
    </fill>
    <fill>
      <patternFill patternType="solid">
        <fgColor indexed="47"/>
        <bgColor indexed="3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44"/>
        <bgColor indexed="58"/>
      </patternFill>
    </fill>
    <fill>
      <patternFill patternType="solid">
        <fgColor indexed="29"/>
        <bgColor indexed="59"/>
      </patternFill>
    </fill>
    <fill>
      <patternFill patternType="solid">
        <fgColor indexed="11"/>
        <bgColor indexed="49"/>
      </patternFill>
    </fill>
    <fill>
      <patternFill patternType="solid">
        <fgColor indexed="51"/>
        <bgColor indexed="34"/>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30"/>
        <bgColor indexed="21"/>
      </patternFill>
    </fill>
    <fill>
      <patternFill patternType="solid">
        <fgColor indexed="20"/>
        <bgColor indexed="28"/>
      </patternFill>
    </fill>
    <fill>
      <patternFill patternType="solid">
        <fgColor indexed="49"/>
        <bgColor indexed="40"/>
      </patternFill>
    </fill>
    <fill>
      <patternFill patternType="solid">
        <fgColor indexed="52"/>
        <bgColor indexed="59"/>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2"/>
        <bgColor indexed="36"/>
      </patternFill>
    </fill>
    <fill>
      <patternFill patternType="solid">
        <fgColor indexed="26"/>
      </patternFill>
    </fill>
    <fill>
      <patternFill patternType="solid">
        <fgColor indexed="42"/>
        <bgColor indexed="64"/>
      </patternFill>
    </fill>
    <fill>
      <patternFill patternType="solid">
        <fgColor indexed="43"/>
        <bgColor indexed="32"/>
      </patternFill>
    </fill>
    <fill>
      <patternFill patternType="solid">
        <fgColor indexed="40"/>
        <bgColor indexed="49"/>
      </patternFill>
    </fill>
    <fill>
      <patternFill patternType="solid">
        <fgColor indexed="18"/>
      </patternFill>
    </fill>
    <fill>
      <patternFill patternType="solid">
        <fgColor indexed="43"/>
      </patternFill>
    </fill>
    <fill>
      <patternFill patternType="solid">
        <fgColor indexed="62"/>
        <bgColor indexed="64"/>
      </patternFill>
    </fill>
    <fill>
      <patternFill patternType="solid">
        <fgColor indexed="44"/>
        <bgColor indexed="64"/>
      </patternFill>
    </fill>
    <fill>
      <patternFill patternType="solid">
        <fgColor indexed="26"/>
        <bgColor indexed="9"/>
      </patternFill>
    </fill>
    <fill>
      <patternFill patternType="solid">
        <fgColor indexed="15"/>
        <bgColor indexed="40"/>
      </patternFill>
    </fill>
    <fill>
      <patternFill patternType="solid">
        <fgColor indexed="22"/>
        <bgColor indexed="64"/>
      </patternFill>
    </fill>
    <fill>
      <patternFill patternType="mediumGray">
        <fgColor indexed="22"/>
      </patternFill>
    </fill>
    <fill>
      <patternFill patternType="solid">
        <fgColor indexed="43"/>
        <bgColor indexed="64"/>
      </patternFill>
    </fill>
    <fill>
      <patternFill patternType="solid">
        <fgColor indexed="54"/>
        <bgColor indexed="64"/>
      </patternFill>
    </fill>
    <fill>
      <patternFill patternType="solid">
        <fgColor indexed="10"/>
        <bgColor indexed="64"/>
      </patternFill>
    </fill>
    <fill>
      <patternFill patternType="solid">
        <fgColor indexed="45"/>
        <bgColor indexed="64"/>
      </patternFill>
    </fill>
    <fill>
      <patternFill patternType="solid">
        <fgColor indexed="29"/>
        <bgColor indexed="64"/>
      </patternFill>
    </fill>
    <fill>
      <patternFill patternType="solid">
        <fgColor indexed="51"/>
        <bgColor indexed="64"/>
      </patternFill>
    </fill>
    <fill>
      <patternFill patternType="solid">
        <fgColor indexed="47"/>
        <bgColor indexed="64"/>
      </patternFill>
    </fill>
    <fill>
      <patternFill patternType="solid">
        <fgColor indexed="50"/>
        <bgColor indexed="64"/>
      </patternFill>
    </fill>
    <fill>
      <patternFill patternType="solid">
        <fgColor indexed="57"/>
        <bgColor indexed="64"/>
      </patternFill>
    </fill>
    <fill>
      <patternFill patternType="solid">
        <fgColor indexed="21"/>
        <bgColor indexed="64"/>
      </patternFill>
    </fill>
    <fill>
      <patternFill patternType="lightUp">
        <fgColor indexed="48"/>
        <bgColor indexed="44"/>
      </patternFill>
    </fill>
    <fill>
      <patternFill patternType="solid">
        <fgColor indexed="41"/>
        <bgColor indexed="64"/>
      </patternFill>
    </fill>
    <fill>
      <patternFill patternType="solid">
        <fgColor indexed="40"/>
        <bgColor indexed="64"/>
      </patternFill>
    </fill>
    <fill>
      <patternFill patternType="solid">
        <fgColor indexed="55"/>
      </patternFill>
    </fill>
    <fill>
      <patternFill patternType="solid">
        <fgColor theme="4"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theme="6" tint="0.39997558519241921"/>
        <bgColor indexed="19"/>
      </patternFill>
    </fill>
    <fill>
      <patternFill patternType="solid">
        <fgColor theme="9" tint="0.39997558519241921"/>
        <bgColor indexed="60"/>
      </patternFill>
    </fill>
    <fill>
      <patternFill patternType="solid">
        <fgColor rgb="FFCCFFCC"/>
        <bgColor indexed="58"/>
      </patternFill>
    </fill>
    <fill>
      <patternFill patternType="solid">
        <fgColor rgb="FFFFFF99"/>
        <bgColor indexed="64"/>
      </patternFill>
    </fill>
    <fill>
      <patternFill patternType="solid">
        <fgColor theme="3" tint="0.59996337778862885"/>
        <bgColor indexed="64"/>
      </patternFill>
    </fill>
    <fill>
      <patternFill patternType="solid">
        <fgColor rgb="FFCCFFCC"/>
        <bgColor indexed="64"/>
      </patternFill>
    </fill>
    <fill>
      <patternFill patternType="solid">
        <fgColor theme="4" tint="0.39997558519241921"/>
        <bgColor indexed="42"/>
      </patternFill>
    </fill>
    <fill>
      <patternFill patternType="solid">
        <fgColor theme="6" tint="0.59999389629810485"/>
        <bgColor indexed="32"/>
      </patternFill>
    </fill>
    <fill>
      <patternFill patternType="solid">
        <fgColor rgb="FFD1D1D1"/>
        <bgColor indexed="64"/>
      </patternFill>
    </fill>
    <fill>
      <patternFill patternType="solid">
        <fgColor rgb="FF4C94D8"/>
        <bgColor indexed="64"/>
      </patternFill>
    </fill>
    <fill>
      <patternFill patternType="solid">
        <fgColor rgb="FFCAEDFB"/>
        <bgColor indexed="64"/>
      </patternFill>
    </fill>
    <fill>
      <patternFill patternType="solid">
        <fgColor rgb="FFC1E4F5"/>
        <bgColor indexed="64"/>
      </patternFill>
    </fill>
    <fill>
      <patternFill patternType="solid">
        <fgColor theme="5" tint="0.79998168889431442"/>
        <bgColor indexed="64"/>
      </patternFill>
    </fill>
    <fill>
      <patternFill patternType="solid">
        <fgColor theme="3" tint="0.79998168889431442"/>
        <bgColor indexed="64"/>
      </patternFill>
    </fill>
    <fill>
      <patternFill patternType="solid">
        <fgColor theme="0"/>
        <bgColor indexed="64"/>
      </patternFill>
    </fill>
    <fill>
      <patternFill patternType="solid">
        <fgColor theme="3" tint="0.39997558519241921"/>
        <bgColor indexed="64"/>
      </patternFill>
    </fill>
  </fills>
  <borders count="66">
    <border>
      <left/>
      <right/>
      <top/>
      <bottom/>
      <diagonal/>
    </border>
    <border>
      <left style="thin">
        <color indexed="8"/>
      </left>
      <right style="thin">
        <color indexed="8"/>
      </right>
      <top style="thin">
        <color indexed="8"/>
      </top>
      <bottom style="thin">
        <color indexed="8"/>
      </bottom>
      <diagonal/>
    </border>
    <border>
      <left style="medium">
        <color indexed="8"/>
      </left>
      <right style="medium">
        <color indexed="8"/>
      </right>
      <top style="medium">
        <color indexed="8"/>
      </top>
      <bottom style="medium">
        <color indexed="8"/>
      </bottom>
      <diagonal/>
    </border>
    <border>
      <left/>
      <right/>
      <top/>
      <bottom style="thick">
        <color indexed="64"/>
      </bottom>
      <diagonal/>
    </border>
    <border>
      <left style="thin">
        <color indexed="23"/>
      </left>
      <right style="thin">
        <color indexed="23"/>
      </right>
      <top style="thin">
        <color indexed="23"/>
      </top>
      <bottom style="thin">
        <color indexed="23"/>
      </bottom>
      <diagonal/>
    </border>
    <border>
      <left style="thick">
        <color indexed="64"/>
      </left>
      <right/>
      <top style="thick">
        <color indexed="64"/>
      </top>
      <bottom style="thick">
        <color indexed="64"/>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style="medium">
        <color indexed="8"/>
      </right>
      <top/>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style="thin">
        <color indexed="64"/>
      </left>
      <right style="thin">
        <color indexed="64"/>
      </right>
      <top/>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double">
        <color indexed="8"/>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thin">
        <color indexed="63"/>
      </left>
      <right style="thin">
        <color indexed="63"/>
      </right>
      <top style="thin">
        <color indexed="63"/>
      </top>
      <bottom style="thin">
        <color indexed="63"/>
      </bottom>
      <diagonal/>
    </border>
    <border>
      <left/>
      <right/>
      <top/>
      <bottom style="medium">
        <color indexed="64"/>
      </bottom>
      <diagonal/>
    </border>
    <border>
      <left style="thin">
        <color indexed="48"/>
      </left>
      <right style="thin">
        <color indexed="48"/>
      </right>
      <top style="thin">
        <color indexed="48"/>
      </top>
      <bottom style="thin">
        <color indexed="48"/>
      </bottom>
      <diagonal/>
    </border>
    <border>
      <left style="thin">
        <color indexed="41"/>
      </left>
      <right style="thin">
        <color indexed="48"/>
      </right>
      <top style="medium">
        <color indexed="41"/>
      </top>
      <bottom style="thin">
        <color indexed="48"/>
      </bottom>
      <diagonal/>
    </border>
    <border>
      <left/>
      <right/>
      <top style="thin">
        <color indexed="48"/>
      </top>
      <bottom style="thin">
        <color indexed="48"/>
      </bottom>
      <diagonal/>
    </border>
    <border>
      <left/>
      <right/>
      <top style="medium">
        <color indexed="8"/>
      </top>
      <bottom style="medium">
        <color indexed="8"/>
      </bottom>
      <diagonal/>
    </border>
    <border>
      <left style="medium">
        <color indexed="8"/>
      </left>
      <right style="thin">
        <color indexed="8"/>
      </right>
      <top style="thin">
        <color indexed="8"/>
      </top>
      <bottom style="thin">
        <color indexed="8"/>
      </bottom>
      <diagonal/>
    </border>
    <border>
      <left style="medium">
        <color indexed="64"/>
      </left>
      <right style="medium">
        <color indexed="64"/>
      </right>
      <top/>
      <bottom/>
      <diagonal/>
    </border>
    <border>
      <left/>
      <right/>
      <top style="thin">
        <color indexed="62"/>
      </top>
      <bottom style="double">
        <color indexed="62"/>
      </bottom>
      <diagonal/>
    </border>
    <border>
      <left style="thick">
        <color indexed="64"/>
      </left>
      <right style="thin">
        <color indexed="64"/>
      </right>
      <top style="thick">
        <color indexed="64"/>
      </top>
      <bottom/>
      <diagonal/>
    </border>
    <border>
      <left/>
      <right style="thick">
        <color indexed="64"/>
      </right>
      <top/>
      <bottom style="thick">
        <color indexed="64"/>
      </bottom>
      <diagonal/>
    </border>
    <border>
      <left style="medium">
        <color indexed="8"/>
      </left>
      <right style="medium">
        <color indexed="8"/>
      </right>
      <top/>
      <bottom/>
      <diagonal/>
    </border>
    <border>
      <left style="medium">
        <color indexed="8"/>
      </left>
      <right style="medium">
        <color indexed="8"/>
      </right>
      <top/>
      <bottom style="thin">
        <color indexed="64"/>
      </bottom>
      <diagonal/>
    </border>
    <border>
      <left/>
      <right style="medium">
        <color indexed="8"/>
      </right>
      <top/>
      <bottom style="thin">
        <color indexed="64"/>
      </bottom>
      <diagonal/>
    </border>
    <border>
      <left/>
      <right/>
      <top style="medium">
        <color indexed="64"/>
      </top>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22"/>
      </right>
      <top style="medium">
        <color indexed="64"/>
      </top>
      <bottom style="thin">
        <color indexed="22"/>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medium">
        <color indexed="64"/>
      </right>
      <top/>
      <bottom style="medium">
        <color indexed="64"/>
      </bottom>
      <diagonal/>
    </border>
    <border>
      <left style="medium">
        <color indexed="8"/>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top style="medium">
        <color indexed="64"/>
      </top>
      <bottom/>
      <diagonal/>
    </border>
    <border>
      <left style="thin">
        <color indexed="64"/>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8"/>
      </left>
      <right style="medium">
        <color indexed="8"/>
      </right>
      <top style="medium">
        <color indexed="8"/>
      </top>
      <bottom style="medium">
        <color indexed="8"/>
      </bottom>
      <diagonal/>
    </border>
    <border>
      <left style="medium">
        <color indexed="8"/>
      </left>
      <right style="medium">
        <color indexed="8"/>
      </right>
      <top style="medium">
        <color indexed="8"/>
      </top>
      <bottom/>
      <diagonal/>
    </border>
    <border>
      <left style="thin">
        <color indexed="41"/>
      </left>
      <right style="thin">
        <color indexed="48"/>
      </right>
      <top style="medium">
        <color indexed="41"/>
      </top>
      <bottom style="thin">
        <color indexed="48"/>
      </bottom>
      <diagonal/>
    </border>
    <border>
      <left/>
      <right/>
      <top style="medium">
        <color indexed="8"/>
      </top>
      <bottom style="medium">
        <color indexed="8"/>
      </bottom>
      <diagonal/>
    </border>
  </borders>
  <cellStyleXfs count="1319">
    <xf numFmtId="0" fontId="0" fillId="0" borderId="0"/>
    <xf numFmtId="0" fontId="73" fillId="0" borderId="0" applyNumberFormat="0" applyFill="0" applyBorder="0" applyAlignment="0" applyProtection="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49" fillId="0" borderId="0" applyNumberFormat="0" applyFill="0" applyBorder="0" applyProtection="0">
      <alignment horizontal="left" vertical="top" wrapText="1"/>
    </xf>
    <xf numFmtId="0" fontId="55" fillId="2" borderId="0" applyNumberFormat="0" applyBorder="0" applyAlignment="0" applyProtection="0"/>
    <xf numFmtId="0" fontId="55" fillId="3" borderId="0" applyNumberFormat="0" applyBorder="0" applyAlignment="0" applyProtection="0"/>
    <xf numFmtId="0" fontId="55" fillId="4" borderId="0" applyNumberFormat="0" applyBorder="0" applyAlignment="0" applyProtection="0"/>
    <xf numFmtId="0" fontId="55" fillId="5" borderId="0" applyNumberFormat="0" applyBorder="0" applyAlignment="0" applyProtection="0"/>
    <xf numFmtId="0" fontId="55" fillId="6" borderId="0" applyNumberFormat="0" applyBorder="0" applyAlignment="0" applyProtection="0"/>
    <xf numFmtId="0" fontId="55" fillId="7" borderId="0" applyNumberFormat="0" applyBorder="0" applyAlignment="0" applyProtection="0"/>
    <xf numFmtId="0" fontId="55" fillId="8" borderId="0" applyNumberFormat="0" applyBorder="0" applyAlignment="0" applyProtection="0"/>
    <xf numFmtId="0" fontId="55" fillId="9" borderId="0" applyNumberFormat="0" applyBorder="0" applyAlignment="0" applyProtection="0"/>
    <xf numFmtId="0" fontId="55" fillId="10" borderId="0" applyNumberFormat="0" applyBorder="0" applyAlignment="0" applyProtection="0"/>
    <xf numFmtId="0" fontId="55" fillId="11" borderId="0" applyNumberFormat="0" applyBorder="0" applyAlignment="0" applyProtection="0"/>
    <xf numFmtId="0" fontId="55" fillId="12" borderId="0" applyNumberFormat="0" applyBorder="0" applyAlignment="0" applyProtection="0"/>
    <xf numFmtId="0" fontId="55" fillId="13" borderId="0" applyNumberFormat="0" applyBorder="0" applyAlignment="0" applyProtection="0"/>
    <xf numFmtId="0" fontId="55" fillId="14" borderId="0" applyNumberFormat="0" applyBorder="0" applyAlignment="0" applyProtection="0"/>
    <xf numFmtId="0" fontId="55" fillId="15" borderId="0" applyNumberFormat="0" applyBorder="0" applyAlignment="0" applyProtection="0"/>
    <xf numFmtId="0" fontId="55" fillId="16" borderId="0" applyNumberFormat="0" applyBorder="0" applyAlignment="0" applyProtection="0"/>
    <xf numFmtId="0" fontId="55" fillId="5" borderId="0" applyNumberFormat="0" applyBorder="0" applyAlignment="0" applyProtection="0"/>
    <xf numFmtId="0" fontId="55" fillId="14" borderId="0" applyNumberFormat="0" applyBorder="0" applyAlignment="0" applyProtection="0"/>
    <xf numFmtId="0" fontId="55" fillId="17" borderId="0" applyNumberFormat="0" applyBorder="0" applyAlignment="0" applyProtection="0"/>
    <xf numFmtId="0" fontId="55" fillId="18" borderId="0" applyNumberFormat="0" applyBorder="0" applyAlignment="0" applyProtection="0"/>
    <xf numFmtId="0" fontId="55" fillId="19" borderId="0" applyNumberFormat="0" applyBorder="0" applyAlignment="0" applyProtection="0"/>
    <xf numFmtId="0" fontId="55" fillId="20" borderId="0" applyNumberFormat="0" applyBorder="0" applyAlignment="0" applyProtection="0"/>
    <xf numFmtId="0" fontId="55" fillId="11" borderId="0" applyNumberFormat="0" applyBorder="0" applyAlignment="0" applyProtection="0"/>
    <xf numFmtId="0" fontId="55" fillId="18" borderId="0" applyNumberFormat="0" applyBorder="0" applyAlignment="0" applyProtection="0"/>
    <xf numFmtId="0" fontId="55" fillId="21" borderId="0" applyNumberFormat="0" applyBorder="0" applyAlignment="0" applyProtection="0"/>
    <xf numFmtId="0" fontId="56" fillId="22" borderId="0" applyNumberFormat="0" applyBorder="0" applyAlignment="0" applyProtection="0"/>
    <xf numFmtId="0" fontId="56" fillId="15" borderId="0" applyNumberFormat="0" applyBorder="0" applyAlignment="0" applyProtection="0"/>
    <xf numFmtId="0" fontId="56" fillId="16" borderId="0" applyNumberFormat="0" applyBorder="0" applyAlignment="0" applyProtection="0"/>
    <xf numFmtId="0" fontId="56" fillId="23" borderId="0" applyNumberFormat="0" applyBorder="0" applyAlignment="0" applyProtection="0"/>
    <xf numFmtId="0" fontId="56" fillId="24" borderId="0" applyNumberFormat="0" applyBorder="0" applyAlignment="0" applyProtection="0"/>
    <xf numFmtId="0" fontId="56" fillId="25" borderId="0" applyNumberFormat="0" applyBorder="0" applyAlignment="0" applyProtection="0"/>
    <xf numFmtId="0" fontId="56" fillId="26" borderId="0" applyNumberFormat="0" applyBorder="0" applyAlignment="0" applyProtection="0"/>
    <xf numFmtId="0" fontId="56" fillId="19" borderId="0" applyNumberFormat="0" applyBorder="0" applyAlignment="0" applyProtection="0"/>
    <xf numFmtId="0" fontId="56" fillId="20" borderId="0" applyNumberFormat="0" applyBorder="0" applyAlignment="0" applyProtection="0"/>
    <xf numFmtId="0" fontId="56" fillId="27" borderId="0" applyNumberFormat="0" applyBorder="0" applyAlignment="0" applyProtection="0"/>
    <xf numFmtId="0" fontId="56" fillId="28" borderId="0" applyNumberFormat="0" applyBorder="0" applyAlignment="0" applyProtection="0"/>
    <xf numFmtId="0" fontId="56" fillId="29" borderId="0" applyNumberFormat="0" applyBorder="0" applyAlignment="0" applyProtection="0"/>
    <xf numFmtId="0" fontId="56" fillId="30" borderId="0" applyNumberFormat="0" applyBorder="0" applyAlignment="0" applyProtection="0"/>
    <xf numFmtId="0" fontId="56" fillId="30" borderId="0" applyNumberFormat="0" applyBorder="0" applyAlignment="0" applyProtection="0"/>
    <xf numFmtId="0" fontId="56" fillId="31" borderId="0" applyNumberFormat="0" applyBorder="0" applyAlignment="0" applyProtection="0"/>
    <xf numFmtId="0" fontId="56" fillId="31" borderId="0" applyNumberFormat="0" applyBorder="0" applyAlignment="0" applyProtection="0"/>
    <xf numFmtId="0" fontId="56" fillId="32" borderId="0" applyNumberFormat="0" applyBorder="0" applyAlignment="0" applyProtection="0"/>
    <xf numFmtId="0" fontId="56" fillId="32" borderId="0" applyNumberFormat="0" applyBorder="0" applyAlignment="0" applyProtection="0"/>
    <xf numFmtId="0" fontId="56" fillId="23" borderId="0" applyNumberFormat="0" applyBorder="0" applyAlignment="0" applyProtection="0"/>
    <xf numFmtId="0" fontId="56" fillId="23" borderId="0" applyNumberFormat="0" applyBorder="0" applyAlignment="0" applyProtection="0"/>
    <xf numFmtId="0" fontId="56" fillId="24" borderId="0" applyNumberFormat="0" applyBorder="0" applyAlignment="0" applyProtection="0"/>
    <xf numFmtId="0" fontId="56" fillId="24" borderId="0" applyNumberFormat="0" applyBorder="0" applyAlignment="0" applyProtection="0"/>
    <xf numFmtId="0" fontId="56" fillId="33" borderId="0" applyNumberFormat="0" applyBorder="0" applyAlignment="0" applyProtection="0"/>
    <xf numFmtId="0" fontId="56" fillId="33" borderId="0" applyNumberFormat="0" applyBorder="0" applyAlignment="0" applyProtection="0"/>
    <xf numFmtId="0" fontId="5" fillId="0" borderId="1" applyNumberFormat="0" applyFill="0" applyAlignment="0" applyProtection="0"/>
    <xf numFmtId="0" fontId="5" fillId="0" borderId="2" applyNumberFormat="0" applyFill="0" applyAlignment="0" applyProtection="0"/>
    <xf numFmtId="0" fontId="5" fillId="0" borderId="0" applyNumberFormat="0" applyFill="0" applyAlignment="0" applyProtection="0"/>
    <xf numFmtId="0" fontId="25" fillId="0" borderId="3" applyNumberFormat="0" applyFill="0" applyBorder="0" applyProtection="0"/>
    <xf numFmtId="0" fontId="25" fillId="0" borderId="3" applyNumberFormat="0" applyFill="0" applyBorder="0" applyProtection="0"/>
    <xf numFmtId="0" fontId="25" fillId="0" borderId="3" applyNumberFormat="0" applyFill="0" applyBorder="0" applyProtection="0"/>
    <xf numFmtId="0" fontId="25" fillId="0" borderId="3" applyNumberFormat="0" applyFill="0" applyBorder="0" applyProtection="0"/>
    <xf numFmtId="0" fontId="26" fillId="0" borderId="0" applyNumberFormat="0" applyFill="0" applyBorder="0" applyAlignment="0"/>
    <xf numFmtId="0" fontId="58" fillId="34" borderId="4" applyNumberFormat="0" applyAlignment="0" applyProtection="0"/>
    <xf numFmtId="0" fontId="58" fillId="35" borderId="4" applyNumberFormat="0" applyAlignment="0" applyProtection="0"/>
    <xf numFmtId="0" fontId="20" fillId="0" borderId="5" applyNumberFormat="0" applyBorder="0"/>
    <xf numFmtId="165" fontId="3" fillId="0" borderId="0" applyFont="0" applyFill="0" applyBorder="0" applyAlignment="0" applyProtection="0"/>
    <xf numFmtId="165" fontId="5" fillId="0" borderId="0" applyFont="0" applyFill="0" applyBorder="0" applyAlignment="0" applyProtection="0"/>
    <xf numFmtId="165" fontId="5" fillId="0" borderId="0" applyFont="0" applyFill="0" applyBorder="0" applyAlignment="0" applyProtection="0"/>
    <xf numFmtId="165" fontId="81" fillId="0" borderId="0" applyFont="0" applyFill="0" applyBorder="0" applyAlignment="0" applyProtection="0"/>
    <xf numFmtId="165" fontId="5" fillId="0" borderId="0" applyFont="0" applyFill="0" applyBorder="0" applyAlignment="0" applyProtection="0"/>
    <xf numFmtId="165" fontId="81" fillId="0" borderId="0" applyFont="0" applyFill="0" applyBorder="0" applyAlignment="0" applyProtection="0"/>
    <xf numFmtId="165" fontId="5" fillId="0" borderId="0" applyFont="0" applyFill="0" applyBorder="0" applyAlignment="0" applyProtection="0"/>
    <xf numFmtId="165" fontId="81" fillId="0" borderId="0" applyFont="0" applyFill="0" applyBorder="0" applyAlignment="0" applyProtection="0"/>
    <xf numFmtId="0" fontId="5" fillId="36" borderId="8" applyNumberFormat="0" applyFont="0" applyAlignment="0" applyProtection="0"/>
    <xf numFmtId="0" fontId="81" fillId="36" borderId="8" applyNumberFormat="0" applyFont="0" applyAlignment="0" applyProtection="0"/>
    <xf numFmtId="0" fontId="5" fillId="36" borderId="8" applyNumberFormat="0" applyFont="0" applyAlignment="0" applyProtection="0"/>
    <xf numFmtId="0" fontId="81" fillId="36" borderId="8" applyNumberFormat="0" applyFont="0" applyAlignment="0" applyProtection="0"/>
    <xf numFmtId="0" fontId="5" fillId="36" borderId="8" applyNumberFormat="0" applyFont="0" applyAlignment="0" applyProtection="0"/>
    <xf numFmtId="0" fontId="81" fillId="36" borderId="8" applyNumberFormat="0" applyFont="0" applyAlignment="0" applyProtection="0"/>
    <xf numFmtId="166" fontId="9" fillId="0" borderId="0" applyFont="0" applyFill="0" applyBorder="0">
      <alignment horizontal="right"/>
      <protection locked="0"/>
    </xf>
    <xf numFmtId="166" fontId="9" fillId="0" borderId="0" applyFont="0" applyFill="0" applyBorder="0">
      <alignment horizontal="right"/>
      <protection locked="0"/>
    </xf>
    <xf numFmtId="166" fontId="9" fillId="0" borderId="0" applyFont="0" applyFill="0" applyBorder="0">
      <alignment horizontal="right"/>
      <protection locked="0"/>
    </xf>
    <xf numFmtId="166" fontId="83" fillId="0" borderId="0" applyFont="0" applyFill="0" applyBorder="0">
      <alignment horizontal="right"/>
      <protection locked="0"/>
    </xf>
    <xf numFmtId="166" fontId="9" fillId="0" borderId="0" applyFont="0" applyFill="0" applyBorder="0">
      <alignment horizontal="right"/>
      <protection locked="0"/>
    </xf>
    <xf numFmtId="166" fontId="9" fillId="0" borderId="0" applyFont="0" applyFill="0" applyBorder="0">
      <alignment horizontal="right"/>
      <protection locked="0"/>
    </xf>
    <xf numFmtId="164" fontId="3" fillId="0" borderId="0" applyFont="0" applyFill="0" applyBorder="0" applyAlignment="0" applyProtection="0"/>
    <xf numFmtId="164" fontId="5" fillId="0" borderId="0" applyFont="0" applyFill="0" applyBorder="0" applyAlignment="0" applyProtection="0"/>
    <xf numFmtId="164" fontId="5" fillId="0" borderId="0" applyFont="0" applyFill="0" applyBorder="0" applyAlignment="0" applyProtection="0"/>
    <xf numFmtId="164" fontId="81" fillId="0" borderId="0" applyFont="0" applyFill="0" applyBorder="0" applyAlignment="0" applyProtection="0"/>
    <xf numFmtId="164" fontId="5" fillId="0" borderId="0" applyFont="0" applyFill="0" applyBorder="0" applyAlignment="0" applyProtection="0"/>
    <xf numFmtId="164" fontId="81" fillId="0" borderId="0" applyFont="0" applyFill="0" applyBorder="0" applyAlignment="0" applyProtection="0"/>
    <xf numFmtId="164" fontId="5" fillId="0" borderId="0" applyFont="0" applyFill="0" applyBorder="0" applyAlignment="0" applyProtection="0"/>
    <xf numFmtId="164" fontId="81" fillId="0" borderId="0" applyFont="0" applyFill="0" applyBorder="0" applyAlignment="0" applyProtection="0"/>
    <xf numFmtId="15" fontId="3" fillId="0" borderId="0" applyProtection="0"/>
    <xf numFmtId="15" fontId="5" fillId="0" borderId="0" applyProtection="0"/>
    <xf numFmtId="15" fontId="5" fillId="0" borderId="0" applyProtection="0"/>
    <xf numFmtId="15" fontId="5" fillId="0" borderId="0" applyProtection="0"/>
    <xf numFmtId="14" fontId="9" fillId="37" borderId="0" applyFont="0" applyBorder="0" applyAlignment="0">
      <alignment vertical="top"/>
    </xf>
    <xf numFmtId="14" fontId="9" fillId="37" borderId="0" applyFont="0" applyBorder="0" applyAlignment="0">
      <alignment vertical="top"/>
    </xf>
    <xf numFmtId="14" fontId="9" fillId="37" borderId="0" applyFont="0" applyBorder="0" applyAlignment="0">
      <alignment vertical="top"/>
    </xf>
    <xf numFmtId="14" fontId="83" fillId="37" borderId="0" applyFont="0" applyBorder="0" applyAlignment="0">
      <alignment vertical="top"/>
    </xf>
    <xf numFmtId="14" fontId="9" fillId="37" borderId="0" applyFont="0" applyBorder="0" applyAlignment="0">
      <alignment vertical="top"/>
    </xf>
    <xf numFmtId="14" fontId="9" fillId="37" borderId="0" applyFont="0" applyBorder="0" applyAlignment="0">
      <alignment vertical="top"/>
    </xf>
    <xf numFmtId="167" fontId="9" fillId="37" borderId="0" applyFont="0" applyBorder="0" applyAlignment="0">
      <alignment vertical="top"/>
    </xf>
    <xf numFmtId="167" fontId="9" fillId="37" borderId="0" applyFont="0" applyBorder="0" applyAlignment="0">
      <alignment vertical="top"/>
    </xf>
    <xf numFmtId="167" fontId="9" fillId="37" borderId="0" applyFont="0" applyBorder="0" applyAlignment="0">
      <alignment vertical="top"/>
    </xf>
    <xf numFmtId="167" fontId="83" fillId="37" borderId="0" applyFont="0" applyBorder="0" applyAlignment="0">
      <alignment vertical="top"/>
    </xf>
    <xf numFmtId="167" fontId="9" fillId="37" borderId="0" applyFont="0" applyBorder="0" applyAlignment="0">
      <alignment vertical="top"/>
    </xf>
    <xf numFmtId="167" fontId="9" fillId="37" borderId="0" applyFont="0" applyBorder="0" applyAlignment="0">
      <alignment vertical="top"/>
    </xf>
    <xf numFmtId="14" fontId="9" fillId="0" borderId="0" applyFont="0" applyFill="0" applyBorder="0" applyProtection="0">
      <alignment horizontal="center"/>
      <protection locked="0"/>
    </xf>
    <xf numFmtId="14" fontId="5" fillId="0" borderId="0" applyFill="0" applyBorder="0" applyProtection="0">
      <alignment horizontal="center"/>
    </xf>
    <xf numFmtId="14" fontId="5" fillId="0" borderId="0" applyFill="0" applyBorder="0" applyProtection="0">
      <alignment horizontal="center"/>
    </xf>
    <xf numFmtId="14" fontId="9" fillId="0" borderId="0" applyFont="0" applyFill="0" applyBorder="0" applyProtection="0">
      <alignment horizontal="center"/>
      <protection locked="0"/>
    </xf>
    <xf numFmtId="14" fontId="83" fillId="0" borderId="0" applyFont="0" applyFill="0" applyBorder="0" applyProtection="0">
      <alignment horizontal="center"/>
      <protection locked="0"/>
    </xf>
    <xf numFmtId="14" fontId="9" fillId="0" borderId="0" applyFont="0" applyFill="0" applyBorder="0" applyProtection="0">
      <alignment horizontal="center"/>
      <protection locked="0"/>
    </xf>
    <xf numFmtId="14" fontId="9" fillId="0" borderId="0" applyFont="0" applyFill="0" applyBorder="0" applyProtection="0">
      <alignment horizontal="center"/>
      <protection locked="0"/>
    </xf>
    <xf numFmtId="14" fontId="5" fillId="0" borderId="0" applyFill="0" applyBorder="0" applyProtection="0">
      <alignment horizontal="center"/>
    </xf>
    <xf numFmtId="14" fontId="4" fillId="38" borderId="9">
      <alignment horizontal="right" vertical="center"/>
    </xf>
    <xf numFmtId="14" fontId="50" fillId="0" borderId="10"/>
    <xf numFmtId="167" fontId="3" fillId="37" borderId="11">
      <alignment horizontal="center"/>
    </xf>
    <xf numFmtId="167" fontId="5" fillId="37" borderId="11">
      <alignment horizontal="center"/>
    </xf>
    <xf numFmtId="167" fontId="5" fillId="37" borderId="11">
      <alignment horizontal="center"/>
    </xf>
    <xf numFmtId="167" fontId="5" fillId="37" borderId="11">
      <alignment horizontal="center"/>
    </xf>
    <xf numFmtId="167" fontId="5" fillId="37" borderId="11">
      <alignment horizontal="center"/>
    </xf>
    <xf numFmtId="0" fontId="5" fillId="0" borderId="0">
      <alignment vertical="top"/>
    </xf>
    <xf numFmtId="168" fontId="10" fillId="0" borderId="0" applyFill="0" applyBorder="0">
      <alignment horizontal="right"/>
    </xf>
    <xf numFmtId="0" fontId="3" fillId="0" borderId="0" applyBorder="0">
      <alignment vertical="top" wrapText="1"/>
    </xf>
    <xf numFmtId="0" fontId="5" fillId="0" borderId="0" applyBorder="0">
      <alignment vertical="top" wrapText="1"/>
    </xf>
    <xf numFmtId="0" fontId="5" fillId="0" borderId="0" applyBorder="0">
      <alignment vertical="top" wrapText="1"/>
    </xf>
    <xf numFmtId="0" fontId="5" fillId="0" borderId="0" applyBorder="0">
      <alignment vertical="top" wrapText="1"/>
    </xf>
    <xf numFmtId="0" fontId="5" fillId="0" borderId="0" applyBorder="0">
      <alignment vertical="top" wrapText="1"/>
    </xf>
    <xf numFmtId="176" fontId="3" fillId="0" borderId="0" applyFill="0" applyBorder="0" applyAlignment="0" applyProtection="0"/>
    <xf numFmtId="176" fontId="5" fillId="0" borderId="0" applyFill="0" applyBorder="0" applyAlignment="0" applyProtection="0"/>
    <xf numFmtId="176" fontId="5" fillId="0" borderId="0" applyFill="0" applyBorder="0" applyAlignment="0" applyProtection="0"/>
    <xf numFmtId="176" fontId="5" fillId="0" borderId="0" applyFill="0" applyBorder="0" applyAlignment="0" applyProtection="0"/>
    <xf numFmtId="176" fontId="5" fillId="0" borderId="0" applyFill="0" applyBorder="0" applyAlignment="0" applyProtection="0"/>
    <xf numFmtId="0" fontId="11" fillId="0" borderId="12" applyBorder="0"/>
    <xf numFmtId="0" fontId="10" fillId="0" borderId="12" applyBorder="0"/>
    <xf numFmtId="0" fontId="84" fillId="0" borderId="12" applyBorder="0"/>
    <xf numFmtId="0" fontId="10" fillId="0" borderId="12" applyBorder="0"/>
    <xf numFmtId="0" fontId="10" fillId="0" borderId="12" applyBorder="0"/>
    <xf numFmtId="0" fontId="10" fillId="0" borderId="12" applyBorder="0"/>
    <xf numFmtId="0" fontId="10" fillId="0" borderId="12" applyBorder="0"/>
    <xf numFmtId="0" fontId="60" fillId="7" borderId="4" applyNumberFormat="0" applyAlignment="0" applyProtection="0"/>
    <xf numFmtId="171" fontId="3" fillId="0" borderId="0" applyFont="0" applyFill="0" applyBorder="0" applyAlignment="0" applyProtection="0"/>
    <xf numFmtId="171" fontId="5" fillId="0" borderId="0" applyFont="0" applyFill="0" applyBorder="0" applyAlignment="0" applyProtection="0"/>
    <xf numFmtId="171" fontId="5" fillId="0" borderId="0" applyFont="0" applyFill="0" applyBorder="0" applyAlignment="0" applyProtection="0"/>
    <xf numFmtId="188" fontId="5" fillId="0" borderId="0" applyFont="0" applyFill="0" applyBorder="0" applyAlignment="0" applyProtection="0"/>
    <xf numFmtId="171" fontId="81" fillId="0" borderId="0" applyFont="0" applyFill="0" applyBorder="0" applyAlignment="0" applyProtection="0"/>
    <xf numFmtId="171" fontId="5" fillId="0" borderId="0" applyFont="0" applyFill="0" applyBorder="0" applyAlignment="0" applyProtection="0"/>
    <xf numFmtId="171" fontId="81" fillId="0" borderId="0" applyFont="0" applyFill="0" applyBorder="0" applyAlignment="0" applyProtection="0"/>
    <xf numFmtId="171" fontId="5" fillId="0" borderId="0" applyFont="0" applyFill="0" applyBorder="0" applyAlignment="0" applyProtection="0"/>
    <xf numFmtId="171" fontId="81" fillId="0" borderId="0" applyFont="0" applyFill="0" applyBorder="0" applyAlignment="0" applyProtection="0"/>
    <xf numFmtId="0" fontId="27" fillId="0" borderId="0" applyNumberFormat="0" applyFont="0" applyFill="0" applyBorder="0" applyAlignment="0">
      <alignment horizontal="left" vertical="top"/>
    </xf>
    <xf numFmtId="0" fontId="27" fillId="0" borderId="0" applyNumberFormat="0" applyFont="0" applyFill="0" applyBorder="0" applyAlignment="0">
      <alignment horizontal="left" vertical="top"/>
    </xf>
    <xf numFmtId="0" fontId="27" fillId="0" borderId="0" applyNumberFormat="0" applyFont="0" applyFill="0" applyBorder="0" applyAlignment="0">
      <alignment horizontal="left" vertical="top"/>
    </xf>
    <xf numFmtId="0" fontId="85" fillId="0" borderId="0" applyNumberFormat="0" applyFont="0" applyFill="0" applyBorder="0" applyAlignment="0">
      <alignment horizontal="left" vertical="top"/>
    </xf>
    <xf numFmtId="0" fontId="27" fillId="0" borderId="0" applyNumberFormat="0" applyFont="0" applyFill="0" applyBorder="0" applyAlignment="0">
      <alignment horizontal="left" vertical="top"/>
    </xf>
    <xf numFmtId="0" fontId="27" fillId="0" borderId="0" applyNumberFormat="0" applyFont="0" applyFill="0" applyBorder="0" applyAlignment="0">
      <alignment horizontal="left" vertical="top"/>
    </xf>
    <xf numFmtId="0" fontId="23" fillId="0" borderId="0" applyNumberFormat="0" applyFill="0" applyBorder="0" applyAlignment="0" applyProtection="0">
      <alignment vertical="top"/>
      <protection locked="0"/>
    </xf>
    <xf numFmtId="0" fontId="23" fillId="0" borderId="0" applyNumberFormat="0" applyFill="0" applyBorder="0" applyAlignment="0" applyProtection="0">
      <alignment vertical="top"/>
      <protection locked="0"/>
    </xf>
    <xf numFmtId="0" fontId="23" fillId="0" borderId="0" applyNumberFormat="0" applyFill="0" applyBorder="0" applyAlignment="0" applyProtection="0">
      <alignment vertical="top"/>
      <protection locked="0"/>
    </xf>
    <xf numFmtId="0" fontId="23" fillId="0" borderId="0" applyNumberFormat="0" applyFill="0" applyBorder="0" applyAlignment="0" applyProtection="0">
      <alignment vertical="top"/>
      <protection locked="0"/>
    </xf>
    <xf numFmtId="0" fontId="28" fillId="0" borderId="0" applyNumberFormat="0" applyFill="0" applyBorder="0" applyProtection="0"/>
    <xf numFmtId="0" fontId="28" fillId="0" borderId="0" applyNumberFormat="0" applyFill="0" applyBorder="0" applyProtection="0"/>
    <xf numFmtId="0" fontId="28" fillId="0" borderId="0" applyNumberFormat="0" applyFill="0" applyBorder="0" applyProtection="0"/>
    <xf numFmtId="0" fontId="28" fillId="0" borderId="0" applyNumberFormat="0" applyFill="0" applyBorder="0" applyProtection="0"/>
    <xf numFmtId="169" fontId="10"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10"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26"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0" fontId="10"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26"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14" fillId="0" borderId="0" applyFill="0" applyBorder="0">
      <alignment horizontal="right"/>
      <protection locked="0"/>
    </xf>
    <xf numFmtId="169" fontId="2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10" fillId="0" borderId="0" applyFill="0" applyBorder="0">
      <alignment horizontal="right"/>
      <protection locked="0"/>
    </xf>
    <xf numFmtId="169" fontId="4"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0" fontId="51" fillId="39" borderId="16">
      <alignment horizontal="center" vertical="center"/>
    </xf>
    <xf numFmtId="0" fontId="51" fillId="39" borderId="16">
      <alignment horizontal="center" vertical="center"/>
    </xf>
    <xf numFmtId="0" fontId="51" fillId="39" borderId="16">
      <alignment horizontal="center" vertical="center"/>
    </xf>
    <xf numFmtId="0" fontId="51" fillId="39" borderId="16">
      <alignment horizontal="center" vertical="center"/>
    </xf>
    <xf numFmtId="0" fontId="22" fillId="0" borderId="0" applyNumberFormat="0" applyFill="0" applyBorder="0" applyAlignment="0" applyProtection="0">
      <alignment vertical="top"/>
      <protection locked="0"/>
    </xf>
    <xf numFmtId="0" fontId="22" fillId="0" borderId="0" applyNumberFormat="0" applyFill="0" applyBorder="0" applyAlignment="0" applyProtection="0">
      <alignment vertical="top"/>
      <protection locked="0"/>
    </xf>
    <xf numFmtId="0" fontId="22" fillId="0" borderId="0" applyNumberFormat="0" applyFill="0" applyBorder="0" applyAlignment="0" applyProtection="0">
      <alignment vertical="top"/>
      <protection locked="0"/>
    </xf>
    <xf numFmtId="0" fontId="22" fillId="0" borderId="0" applyNumberFormat="0" applyFill="0" applyBorder="0" applyAlignment="0" applyProtection="0">
      <alignment vertical="top"/>
      <protection locked="0"/>
    </xf>
    <xf numFmtId="0" fontId="60" fillId="13" borderId="4" applyNumberFormat="0" applyAlignment="0" applyProtection="0"/>
    <xf numFmtId="0" fontId="61" fillId="3" borderId="0" applyNumberFormat="0" applyBorder="0" applyAlignment="0" applyProtection="0"/>
    <xf numFmtId="0" fontId="61" fillId="3" borderId="0" applyNumberFormat="0" applyBorder="0" applyAlignment="0" applyProtection="0"/>
    <xf numFmtId="177" fontId="3" fillId="0" borderId="0">
      <alignment horizontal="center" vertical="top"/>
    </xf>
    <xf numFmtId="177" fontId="5" fillId="0" borderId="0">
      <alignment horizontal="center" vertical="top"/>
    </xf>
    <xf numFmtId="177" fontId="5" fillId="0" borderId="0">
      <alignment horizontal="center" vertical="top"/>
    </xf>
    <xf numFmtId="177" fontId="5" fillId="0" borderId="0">
      <alignment horizontal="center" vertical="top"/>
    </xf>
    <xf numFmtId="177" fontId="5" fillId="0" borderId="0">
      <alignment horizontal="center" vertical="top"/>
    </xf>
    <xf numFmtId="174" fontId="30" fillId="0" borderId="17">
      <alignment horizontal="center" vertical="center"/>
    </xf>
    <xf numFmtId="172" fontId="31" fillId="0" borderId="18">
      <alignment horizontal="left"/>
    </xf>
    <xf numFmtId="172" fontId="7" fillId="0" borderId="18">
      <alignment horizontal="left"/>
    </xf>
    <xf numFmtId="172" fontId="7" fillId="0" borderId="18">
      <alignment horizontal="left"/>
    </xf>
    <xf numFmtId="172" fontId="16" fillId="0" borderId="17">
      <alignment horizontal="center"/>
    </xf>
    <xf numFmtId="172" fontId="16" fillId="0" borderId="17"/>
    <xf numFmtId="172" fontId="32" fillId="0" borderId="17">
      <alignment horizontal="left"/>
    </xf>
    <xf numFmtId="172" fontId="24" fillId="0" borderId="17">
      <alignment horizontal="left"/>
    </xf>
    <xf numFmtId="172" fontId="24" fillId="0" borderId="17">
      <alignment horizontal="left"/>
    </xf>
    <xf numFmtId="172" fontId="24" fillId="0" borderId="17">
      <alignment horizontal="left"/>
    </xf>
    <xf numFmtId="172" fontId="32" fillId="0" borderId="17"/>
    <xf numFmtId="172" fontId="24" fillId="0" borderId="17"/>
    <xf numFmtId="172" fontId="24" fillId="0" borderId="17"/>
    <xf numFmtId="172" fontId="24" fillId="0" borderId="17"/>
    <xf numFmtId="0" fontId="75" fillId="0" borderId="0" applyNumberFormat="0" applyFill="0" applyBorder="0" applyAlignment="0" applyProtection="0"/>
    <xf numFmtId="0" fontId="75" fillId="0" borderId="0" applyNumberFormat="0" applyFill="0" applyBorder="0" applyAlignment="0" applyProtection="0">
      <alignment vertical="top"/>
      <protection locked="0"/>
    </xf>
    <xf numFmtId="0" fontId="72" fillId="0" borderId="0" applyNumberFormat="0" applyFill="0" applyBorder="0" applyAlignment="0" applyProtection="0"/>
    <xf numFmtId="0" fontId="22" fillId="0" borderId="0" applyNumberFormat="0" applyFill="0" applyBorder="0" applyAlignment="0" applyProtection="0">
      <alignment vertical="top"/>
      <protection locked="0"/>
    </xf>
    <xf numFmtId="0" fontId="72" fillId="0" borderId="0" applyNumberFormat="0" applyFill="0" applyBorder="0" applyAlignment="0" applyProtection="0">
      <alignment vertical="top"/>
      <protection locked="0"/>
    </xf>
    <xf numFmtId="0" fontId="75" fillId="0" borderId="0" applyNumberFormat="0" applyFill="0" applyBorder="0" applyAlignment="0" applyProtection="0">
      <alignment vertical="top"/>
      <protection locked="0"/>
    </xf>
    <xf numFmtId="0" fontId="82" fillId="0" borderId="0" applyNumberFormat="0" applyFill="0" applyBorder="0" applyAlignment="0" applyProtection="0">
      <alignment vertical="top"/>
      <protection locked="0"/>
    </xf>
    <xf numFmtId="0" fontId="22" fillId="0" borderId="0" applyNumberFormat="0" applyFill="0" applyBorder="0" applyAlignment="0" applyProtection="0"/>
    <xf numFmtId="0" fontId="22" fillId="0" borderId="0" applyNumberFormat="0" applyFill="0" applyBorder="0" applyAlignment="0" applyProtection="0"/>
    <xf numFmtId="0" fontId="59" fillId="0" borderId="6" applyNumberFormat="0" applyFill="0" applyAlignment="0" applyProtection="0"/>
    <xf numFmtId="0" fontId="33" fillId="40" borderId="0"/>
    <xf numFmtId="0" fontId="33" fillId="40" borderId="0"/>
    <xf numFmtId="0" fontId="33" fillId="40" borderId="0"/>
    <xf numFmtId="0" fontId="86" fillId="40" borderId="0"/>
    <xf numFmtId="0" fontId="33" fillId="40" borderId="0"/>
    <xf numFmtId="0" fontId="33" fillId="40" borderId="0"/>
    <xf numFmtId="0" fontId="33" fillId="40" borderId="0"/>
    <xf numFmtId="178" fontId="3" fillId="0" borderId="0" applyBorder="0">
      <alignment vertical="top"/>
    </xf>
    <xf numFmtId="178" fontId="5" fillId="0" borderId="0" applyBorder="0">
      <alignment vertical="top"/>
    </xf>
    <xf numFmtId="178" fontId="5" fillId="0" borderId="0" applyBorder="0">
      <alignment vertical="top"/>
    </xf>
    <xf numFmtId="178" fontId="5" fillId="0" borderId="0" applyBorder="0">
      <alignment vertical="top"/>
    </xf>
    <xf numFmtId="178" fontId="5" fillId="0" borderId="0" applyBorder="0">
      <alignment vertical="top"/>
    </xf>
    <xf numFmtId="0" fontId="62" fillId="41" borderId="0" applyNumberFormat="0" applyBorder="0" applyAlignment="0" applyProtection="0"/>
    <xf numFmtId="0" fontId="62" fillId="41" borderId="0" applyNumberFormat="0" applyBorder="0" applyAlignment="0" applyProtection="0"/>
    <xf numFmtId="0" fontId="34" fillId="42" borderId="0">
      <alignment vertical="center"/>
    </xf>
    <xf numFmtId="0" fontId="12" fillId="43" borderId="19">
      <alignment vertical="center" wrapText="1"/>
    </xf>
    <xf numFmtId="0" fontId="5" fillId="0" borderId="0"/>
    <xf numFmtId="0" fontId="13" fillId="0" borderId="0">
      <alignment horizontal="center"/>
    </xf>
    <xf numFmtId="175" fontId="11" fillId="0" borderId="0"/>
    <xf numFmtId="175" fontId="10" fillId="0" borderId="0"/>
    <xf numFmtId="175" fontId="10" fillId="0" borderId="0"/>
    <xf numFmtId="0" fontId="5" fillId="0" borderId="0">
      <alignment horizontal="left"/>
      <protection locked="0"/>
    </xf>
    <xf numFmtId="0" fontId="35" fillId="0" borderId="0"/>
    <xf numFmtId="0" fontId="35" fillId="0" borderId="0"/>
    <xf numFmtId="0" fontId="35" fillId="0" borderId="0"/>
    <xf numFmtId="0" fontId="35" fillId="0" borderId="0"/>
    <xf numFmtId="0" fontId="9" fillId="37" borderId="0" applyNumberFormat="0" applyFont="0" applyBorder="0" applyAlignment="0">
      <alignment vertical="top"/>
    </xf>
    <xf numFmtId="0" fontId="9" fillId="37" borderId="0" applyNumberFormat="0" applyFont="0" applyBorder="0" applyAlignment="0">
      <alignment vertical="top"/>
    </xf>
    <xf numFmtId="0" fontId="9" fillId="37" borderId="0" applyNumberFormat="0" applyFont="0" applyBorder="0" applyAlignment="0">
      <alignment vertical="top"/>
    </xf>
    <xf numFmtId="0" fontId="83" fillId="37" borderId="0" applyNumberFormat="0" applyFont="0" applyBorder="0" applyAlignment="0">
      <alignment vertical="top"/>
    </xf>
    <xf numFmtId="0" fontId="9" fillId="37" borderId="0" applyNumberFormat="0" applyFont="0" applyBorder="0" applyAlignment="0">
      <alignment vertical="top"/>
    </xf>
    <xf numFmtId="0" fontId="9" fillId="37" borderId="0" applyNumberFormat="0" applyFont="0" applyBorder="0" applyAlignment="0">
      <alignment vertical="top"/>
    </xf>
    <xf numFmtId="0" fontId="5" fillId="0" borderId="0"/>
    <xf numFmtId="0" fontId="52" fillId="0" borderId="0"/>
    <xf numFmtId="0" fontId="93" fillId="0" borderId="0"/>
    <xf numFmtId="0" fontId="5" fillId="0" borderId="0"/>
    <xf numFmtId="0" fontId="55" fillId="0" borderId="0"/>
    <xf numFmtId="0" fontId="94" fillId="0" borderId="0"/>
    <xf numFmtId="0" fontId="5" fillId="0" borderId="0"/>
    <xf numFmtId="0" fontId="9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44" borderId="8" applyNumberFormat="0" applyAlignment="0" applyProtection="0"/>
    <xf numFmtId="0" fontId="76" fillId="45" borderId="0"/>
    <xf numFmtId="0" fontId="52" fillId="0" borderId="0" applyNumberFormat="0">
      <alignment vertical="top" wrapText="1"/>
      <protection locked="0"/>
    </xf>
    <xf numFmtId="0" fontId="12" fillId="46" borderId="0" applyNumberFormat="0" applyProtection="0">
      <alignment vertical="center"/>
    </xf>
    <xf numFmtId="0" fontId="4" fillId="46" borderId="0" applyNumberFormat="0" applyProtection="0">
      <alignment vertical="center"/>
    </xf>
    <xf numFmtId="0" fontId="4" fillId="46" borderId="0" applyNumberFormat="0" applyProtection="0">
      <alignment vertical="center"/>
    </xf>
    <xf numFmtId="179" fontId="3" fillId="0" borderId="0" applyFill="0" applyBorder="0" applyProtection="0">
      <alignment vertical="top"/>
    </xf>
    <xf numFmtId="179" fontId="5" fillId="0" borderId="0" applyFill="0" applyBorder="0" applyProtection="0">
      <alignment vertical="top"/>
    </xf>
    <xf numFmtId="179" fontId="5" fillId="0" borderId="0" applyFill="0" applyBorder="0" applyProtection="0">
      <alignment vertical="top"/>
    </xf>
    <xf numFmtId="179" fontId="5" fillId="0" borderId="0" applyFill="0" applyBorder="0" applyProtection="0">
      <alignment vertical="top"/>
    </xf>
    <xf numFmtId="179" fontId="5" fillId="0" borderId="0" applyFill="0" applyBorder="0" applyProtection="0">
      <alignment vertical="top"/>
    </xf>
    <xf numFmtId="179" fontId="7" fillId="0" borderId="0" applyFill="0" applyBorder="0" applyProtection="0">
      <alignment vertical="top"/>
    </xf>
    <xf numFmtId="9" fontId="5" fillId="0" borderId="0" applyFill="0" applyBorder="0" applyAlignment="0" applyProtection="0"/>
    <xf numFmtId="9" fontId="5" fillId="0" borderId="0" applyFont="0" applyFill="0" applyBorder="0" applyAlignment="0" applyProtection="0"/>
    <xf numFmtId="9" fontId="5" fillId="0" borderId="0" applyFill="0" applyBorder="0" applyAlignment="0" applyProtection="0"/>
    <xf numFmtId="9" fontId="80"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170" fontId="10" fillId="0" borderId="0" applyFont="0" applyFill="0" applyBorder="0">
      <alignment horizontal="right"/>
      <protection locked="0"/>
    </xf>
    <xf numFmtId="0" fontId="36" fillId="0" borderId="0" applyNumberFormat="0" applyFont="0" applyFill="0" applyBorder="0" applyAlignment="0" applyProtection="0">
      <alignment horizontal="left"/>
    </xf>
    <xf numFmtId="0" fontId="36" fillId="0" borderId="0" applyNumberFormat="0" applyFont="0" applyFill="0" applyBorder="0" applyAlignment="0" applyProtection="0">
      <alignment horizontal="left"/>
    </xf>
    <xf numFmtId="0" fontId="36" fillId="0" borderId="0" applyNumberFormat="0" applyFont="0" applyFill="0" applyBorder="0" applyAlignment="0" applyProtection="0">
      <alignment horizontal="left"/>
    </xf>
    <xf numFmtId="15" fontId="36" fillId="0" borderId="0" applyFont="0" applyFill="0" applyBorder="0" applyAlignment="0" applyProtection="0"/>
    <xf numFmtId="15" fontId="36" fillId="0" borderId="0" applyFont="0" applyFill="0" applyBorder="0" applyAlignment="0" applyProtection="0"/>
    <xf numFmtId="15" fontId="36" fillId="0" borderId="0" applyFont="0" applyFill="0" applyBorder="0" applyAlignment="0" applyProtection="0"/>
    <xf numFmtId="4" fontId="36" fillId="0" borderId="0" applyFont="0" applyFill="0" applyBorder="0" applyAlignment="0" applyProtection="0"/>
    <xf numFmtId="4" fontId="36" fillId="0" borderId="0" applyFont="0" applyFill="0" applyBorder="0" applyAlignment="0" applyProtection="0"/>
    <xf numFmtId="4" fontId="36" fillId="0" borderId="0" applyFont="0" applyFill="0" applyBorder="0" applyAlignment="0" applyProtection="0"/>
    <xf numFmtId="0" fontId="37" fillId="0" borderId="21">
      <alignment horizontal="center"/>
    </xf>
    <xf numFmtId="0" fontId="37" fillId="0" borderId="21">
      <alignment horizontal="center"/>
    </xf>
    <xf numFmtId="0" fontId="37" fillId="0" borderId="21">
      <alignment horizontal="center"/>
    </xf>
    <xf numFmtId="0" fontId="37" fillId="0" borderId="21">
      <alignment horizontal="center"/>
    </xf>
    <xf numFmtId="3" fontId="36" fillId="0" borderId="0" applyFont="0" applyFill="0" applyBorder="0" applyAlignment="0" applyProtection="0"/>
    <xf numFmtId="3" fontId="36" fillId="0" borderId="0" applyFont="0" applyFill="0" applyBorder="0" applyAlignment="0" applyProtection="0"/>
    <xf numFmtId="3" fontId="36" fillId="0" borderId="0" applyFont="0" applyFill="0" applyBorder="0" applyAlignment="0" applyProtection="0"/>
    <xf numFmtId="0" fontId="36" fillId="47" borderId="0" applyNumberFormat="0" applyFont="0" applyBorder="0" applyAlignment="0" applyProtection="0"/>
    <xf numFmtId="0" fontId="36" fillId="47" borderId="0" applyNumberFormat="0" applyFont="0" applyBorder="0" applyAlignment="0" applyProtection="0"/>
    <xf numFmtId="0" fontId="36" fillId="47" borderId="0" applyNumberFormat="0" applyFont="0" applyBorder="0" applyAlignment="0" applyProtection="0"/>
    <xf numFmtId="180" fontId="3" fillId="0" borderId="0" applyFill="0" applyBorder="0" applyProtection="0">
      <alignment horizontal="left" vertical="top"/>
    </xf>
    <xf numFmtId="180" fontId="5" fillId="0" borderId="0" applyFill="0" applyBorder="0" applyProtection="0">
      <alignment horizontal="left" vertical="top"/>
    </xf>
    <xf numFmtId="180" fontId="5" fillId="0" borderId="0" applyFill="0" applyBorder="0" applyProtection="0">
      <alignment horizontal="left" vertical="top"/>
    </xf>
    <xf numFmtId="180" fontId="5" fillId="0" borderId="0" applyFill="0" applyBorder="0" applyProtection="0">
      <alignment horizontal="left" vertical="top"/>
    </xf>
    <xf numFmtId="180" fontId="5" fillId="0" borderId="0" applyFill="0" applyBorder="0" applyProtection="0">
      <alignment horizontal="left" vertical="top"/>
    </xf>
    <xf numFmtId="0" fontId="5" fillId="44" borderId="0"/>
    <xf numFmtId="4" fontId="38" fillId="48" borderId="22" applyNumberFormat="0" applyProtection="0">
      <alignment vertical="center"/>
    </xf>
    <xf numFmtId="4" fontId="38" fillId="48" borderId="22" applyNumberFormat="0" applyProtection="0">
      <alignment vertical="center"/>
    </xf>
    <xf numFmtId="4" fontId="38" fillId="48" borderId="22" applyNumberFormat="0" applyProtection="0">
      <alignment vertical="center"/>
    </xf>
    <xf numFmtId="4" fontId="38" fillId="48" borderId="22" applyNumberFormat="0" applyProtection="0">
      <alignment vertical="center"/>
    </xf>
    <xf numFmtId="4" fontId="39" fillId="48" borderId="22" applyNumberFormat="0" applyProtection="0">
      <alignment vertical="center"/>
    </xf>
    <xf numFmtId="4" fontId="39" fillId="48" borderId="22" applyNumberFormat="0" applyProtection="0">
      <alignment vertical="center"/>
    </xf>
    <xf numFmtId="4" fontId="39" fillId="48" borderId="22" applyNumberFormat="0" applyProtection="0">
      <alignment vertical="center"/>
    </xf>
    <xf numFmtId="4" fontId="39" fillId="48" borderId="22" applyNumberFormat="0" applyProtection="0">
      <alignment vertical="center"/>
    </xf>
    <xf numFmtId="4" fontId="40" fillId="48" borderId="22" applyNumberFormat="0" applyProtection="0">
      <alignment horizontal="left" vertical="center" indent="1"/>
    </xf>
    <xf numFmtId="4" fontId="40" fillId="48" borderId="22" applyNumberFormat="0" applyProtection="0">
      <alignment horizontal="left" vertical="center" indent="1"/>
    </xf>
    <xf numFmtId="4" fontId="40" fillId="48" borderId="22" applyNumberFormat="0" applyProtection="0">
      <alignment horizontal="left" vertical="center" indent="1"/>
    </xf>
    <xf numFmtId="4" fontId="40" fillId="48" borderId="22" applyNumberFormat="0" applyProtection="0">
      <alignment horizontal="left" vertical="center" indent="1"/>
    </xf>
    <xf numFmtId="4" fontId="40" fillId="49" borderId="0" applyNumberFormat="0" applyProtection="0">
      <alignment horizontal="left" vertical="center" indent="1"/>
    </xf>
    <xf numFmtId="4" fontId="40" fillId="49" borderId="0" applyNumberFormat="0" applyProtection="0">
      <alignment horizontal="left" vertical="center" indent="1"/>
    </xf>
    <xf numFmtId="4" fontId="40" fillId="49" borderId="0" applyNumberFormat="0" applyProtection="0">
      <alignment horizontal="left" vertical="center" indent="1"/>
    </xf>
    <xf numFmtId="4" fontId="40" fillId="49" borderId="0" applyNumberFormat="0" applyProtection="0">
      <alignment horizontal="left" vertical="center" indent="1"/>
    </xf>
    <xf numFmtId="4" fontId="40" fillId="50" borderId="22" applyNumberFormat="0" applyProtection="0">
      <alignment horizontal="right" vertical="center"/>
    </xf>
    <xf numFmtId="4" fontId="40" fillId="50" borderId="22" applyNumberFormat="0" applyProtection="0">
      <alignment horizontal="right" vertical="center"/>
    </xf>
    <xf numFmtId="4" fontId="40" fillId="50" borderId="22" applyNumberFormat="0" applyProtection="0">
      <alignment horizontal="right" vertical="center"/>
    </xf>
    <xf numFmtId="4" fontId="40" fillId="50" borderId="22" applyNumberFormat="0" applyProtection="0">
      <alignment horizontal="right" vertical="center"/>
    </xf>
    <xf numFmtId="4" fontId="40" fillId="51" borderId="22" applyNumberFormat="0" applyProtection="0">
      <alignment horizontal="right" vertical="center"/>
    </xf>
    <xf numFmtId="4" fontId="40" fillId="51" borderId="22" applyNumberFormat="0" applyProtection="0">
      <alignment horizontal="right" vertical="center"/>
    </xf>
    <xf numFmtId="4" fontId="40" fillId="51" borderId="22" applyNumberFormat="0" applyProtection="0">
      <alignment horizontal="right" vertical="center"/>
    </xf>
    <xf numFmtId="4" fontId="40" fillId="51" borderId="22" applyNumberFormat="0" applyProtection="0">
      <alignment horizontal="right" vertical="center"/>
    </xf>
    <xf numFmtId="4" fontId="40" fillId="52" borderId="22" applyNumberFormat="0" applyProtection="0">
      <alignment horizontal="right" vertical="center"/>
    </xf>
    <xf numFmtId="4" fontId="40" fillId="52" borderId="22" applyNumberFormat="0" applyProtection="0">
      <alignment horizontal="right" vertical="center"/>
    </xf>
    <xf numFmtId="4" fontId="40" fillId="52" borderId="22" applyNumberFormat="0" applyProtection="0">
      <alignment horizontal="right" vertical="center"/>
    </xf>
    <xf numFmtId="4" fontId="40" fillId="52" borderId="22" applyNumberFormat="0" applyProtection="0">
      <alignment horizontal="right" vertical="center"/>
    </xf>
    <xf numFmtId="4" fontId="40" fillId="37" borderId="22" applyNumberFormat="0" applyProtection="0">
      <alignment horizontal="right" vertical="center"/>
    </xf>
    <xf numFmtId="4" fontId="40" fillId="37" borderId="22" applyNumberFormat="0" applyProtection="0">
      <alignment horizontal="right" vertical="center"/>
    </xf>
    <xf numFmtId="4" fontId="40" fillId="37" borderId="22" applyNumberFormat="0" applyProtection="0">
      <alignment horizontal="right" vertical="center"/>
    </xf>
    <xf numFmtId="4" fontId="40" fillId="37" borderId="22" applyNumberFormat="0" applyProtection="0">
      <alignment horizontal="right" vertical="center"/>
    </xf>
    <xf numFmtId="4" fontId="40" fillId="53" borderId="22" applyNumberFormat="0" applyProtection="0">
      <alignment horizontal="right" vertical="center"/>
    </xf>
    <xf numFmtId="4" fontId="40" fillId="53" borderId="22" applyNumberFormat="0" applyProtection="0">
      <alignment horizontal="right" vertical="center"/>
    </xf>
    <xf numFmtId="4" fontId="40" fillId="53" borderId="22" applyNumberFormat="0" applyProtection="0">
      <alignment horizontal="right" vertical="center"/>
    </xf>
    <xf numFmtId="4" fontId="40" fillId="53" borderId="22" applyNumberFormat="0" applyProtection="0">
      <alignment horizontal="right" vertical="center"/>
    </xf>
    <xf numFmtId="4" fontId="40" fillId="54" borderId="22" applyNumberFormat="0" applyProtection="0">
      <alignment horizontal="right" vertical="center"/>
    </xf>
    <xf numFmtId="4" fontId="40" fillId="54" borderId="22" applyNumberFormat="0" applyProtection="0">
      <alignment horizontal="right" vertical="center"/>
    </xf>
    <xf numFmtId="4" fontId="40" fillId="54" borderId="22" applyNumberFormat="0" applyProtection="0">
      <alignment horizontal="right" vertical="center"/>
    </xf>
    <xf numFmtId="4" fontId="40" fillId="54" borderId="22" applyNumberFormat="0" applyProtection="0">
      <alignment horizontal="right" vertical="center"/>
    </xf>
    <xf numFmtId="4" fontId="40" fillId="55" borderId="22" applyNumberFormat="0" applyProtection="0">
      <alignment horizontal="right" vertical="center"/>
    </xf>
    <xf numFmtId="4" fontId="40" fillId="55" borderId="22" applyNumberFormat="0" applyProtection="0">
      <alignment horizontal="right" vertical="center"/>
    </xf>
    <xf numFmtId="4" fontId="40" fillId="55" borderId="22" applyNumberFormat="0" applyProtection="0">
      <alignment horizontal="right" vertical="center"/>
    </xf>
    <xf numFmtId="4" fontId="40" fillId="55" borderId="22" applyNumberFormat="0" applyProtection="0">
      <alignment horizontal="right" vertical="center"/>
    </xf>
    <xf numFmtId="4" fontId="40" fillId="56" borderId="22" applyNumberFormat="0" applyProtection="0">
      <alignment horizontal="right" vertical="center"/>
    </xf>
    <xf numFmtId="4" fontId="40" fillId="56" borderId="22" applyNumberFormat="0" applyProtection="0">
      <alignment horizontal="right" vertical="center"/>
    </xf>
    <xf numFmtId="4" fontId="40" fillId="56" borderId="22" applyNumberFormat="0" applyProtection="0">
      <alignment horizontal="right" vertical="center"/>
    </xf>
    <xf numFmtId="4" fontId="40" fillId="56" borderId="22" applyNumberFormat="0" applyProtection="0">
      <alignment horizontal="right" vertical="center"/>
    </xf>
    <xf numFmtId="4" fontId="40" fillId="57" borderId="22" applyNumberFormat="0" applyProtection="0">
      <alignment horizontal="right" vertical="center"/>
    </xf>
    <xf numFmtId="4" fontId="40" fillId="57" borderId="22" applyNumberFormat="0" applyProtection="0">
      <alignment horizontal="right" vertical="center"/>
    </xf>
    <xf numFmtId="4" fontId="40" fillId="57" borderId="22" applyNumberFormat="0" applyProtection="0">
      <alignment horizontal="right" vertical="center"/>
    </xf>
    <xf numFmtId="4" fontId="40" fillId="57" borderId="22" applyNumberFormat="0" applyProtection="0">
      <alignment horizontal="right" vertical="center"/>
    </xf>
    <xf numFmtId="4" fontId="38" fillId="58" borderId="23" applyNumberFormat="0" applyProtection="0">
      <alignment horizontal="left" vertical="center" indent="1"/>
    </xf>
    <xf numFmtId="4" fontId="38" fillId="58" borderId="23" applyNumberFormat="0" applyProtection="0">
      <alignment horizontal="left" vertical="center" indent="1"/>
    </xf>
    <xf numFmtId="4" fontId="38" fillId="58" borderId="23" applyNumberFormat="0" applyProtection="0">
      <alignment horizontal="left" vertical="center" indent="1"/>
    </xf>
    <xf numFmtId="4" fontId="38" fillId="58" borderId="23" applyNumberFormat="0" applyProtection="0">
      <alignment horizontal="left" vertical="center" indent="1"/>
    </xf>
    <xf numFmtId="4" fontId="38" fillId="43" borderId="0" applyNumberFormat="0" applyProtection="0">
      <alignment horizontal="left" vertical="center" indent="1"/>
    </xf>
    <xf numFmtId="4" fontId="38" fillId="43" borderId="0" applyNumberFormat="0" applyProtection="0">
      <alignment horizontal="left" vertical="center" indent="1"/>
    </xf>
    <xf numFmtId="4" fontId="38" fillId="43" borderId="0" applyNumberFormat="0" applyProtection="0">
      <alignment horizontal="left" vertical="center" indent="1"/>
    </xf>
    <xf numFmtId="4" fontId="38" fillId="43" borderId="0" applyNumberFormat="0" applyProtection="0">
      <alignment horizontal="left" vertical="center" indent="1"/>
    </xf>
    <xf numFmtId="4" fontId="38" fillId="49" borderId="0" applyNumberFormat="0" applyProtection="0">
      <alignment horizontal="left" vertical="center" indent="1"/>
    </xf>
    <xf numFmtId="4" fontId="38" fillId="49" borderId="0" applyNumberFormat="0" applyProtection="0">
      <alignment horizontal="left" vertical="center" indent="1"/>
    </xf>
    <xf numFmtId="4" fontId="38" fillId="49" borderId="0" applyNumberFormat="0" applyProtection="0">
      <alignment horizontal="left" vertical="center" indent="1"/>
    </xf>
    <xf numFmtId="4" fontId="38" fillId="49" borderId="0" applyNumberFormat="0" applyProtection="0">
      <alignment horizontal="left" vertical="center" indent="1"/>
    </xf>
    <xf numFmtId="4" fontId="40" fillId="43" borderId="22" applyNumberFormat="0" applyProtection="0">
      <alignment horizontal="right" vertical="center"/>
    </xf>
    <xf numFmtId="4" fontId="40" fillId="43" borderId="22" applyNumberFormat="0" applyProtection="0">
      <alignment horizontal="right" vertical="center"/>
    </xf>
    <xf numFmtId="4" fontId="40" fillId="43" borderId="22" applyNumberFormat="0" applyProtection="0">
      <alignment horizontal="right" vertical="center"/>
    </xf>
    <xf numFmtId="4" fontId="40" fillId="43" borderId="22" applyNumberFormat="0" applyProtection="0">
      <alignment horizontal="right" vertical="center"/>
    </xf>
    <xf numFmtId="4" fontId="41" fillId="43" borderId="0" applyNumberFormat="0" applyProtection="0">
      <alignment horizontal="left" vertical="center" indent="1"/>
    </xf>
    <xf numFmtId="4" fontId="41" fillId="43" borderId="0" applyNumberFormat="0" applyProtection="0">
      <alignment horizontal="left" vertical="center" indent="1"/>
    </xf>
    <xf numFmtId="4" fontId="41" fillId="43" borderId="0" applyNumberFormat="0" applyProtection="0">
      <alignment horizontal="left" vertical="center" indent="1"/>
    </xf>
    <xf numFmtId="4" fontId="41" fillId="43" borderId="0" applyNumberFormat="0" applyProtection="0">
      <alignment horizontal="left" vertical="center" indent="1"/>
    </xf>
    <xf numFmtId="4" fontId="41" fillId="49" borderId="0" applyNumberFormat="0" applyProtection="0">
      <alignment horizontal="left" vertical="center" indent="1"/>
    </xf>
    <xf numFmtId="4" fontId="41" fillId="49" borderId="0" applyNumberFormat="0" applyProtection="0">
      <alignment horizontal="left" vertical="center" indent="1"/>
    </xf>
    <xf numFmtId="4" fontId="41" fillId="49" borderId="0" applyNumberFormat="0" applyProtection="0">
      <alignment horizontal="left" vertical="center" indent="1"/>
    </xf>
    <xf numFmtId="4" fontId="41" fillId="49" borderId="0" applyNumberFormat="0" applyProtection="0">
      <alignment horizontal="left" vertical="center" indent="1"/>
    </xf>
    <xf numFmtId="4" fontId="40" fillId="59" borderId="22" applyNumberFormat="0" applyProtection="0">
      <alignment vertical="center"/>
    </xf>
    <xf numFmtId="4" fontId="40" fillId="59" borderId="22" applyNumberFormat="0" applyProtection="0">
      <alignment vertical="center"/>
    </xf>
    <xf numFmtId="4" fontId="40" fillId="59" borderId="22" applyNumberFormat="0" applyProtection="0">
      <alignment vertical="center"/>
    </xf>
    <xf numFmtId="4" fontId="40" fillId="59" borderId="22" applyNumberFormat="0" applyProtection="0">
      <alignment vertical="center"/>
    </xf>
    <xf numFmtId="4" fontId="42" fillId="59" borderId="22" applyNumberFormat="0" applyProtection="0">
      <alignment vertical="center"/>
    </xf>
    <xf numFmtId="4" fontId="42" fillId="59" borderId="22" applyNumberFormat="0" applyProtection="0">
      <alignment vertical="center"/>
    </xf>
    <xf numFmtId="4" fontId="42" fillId="59" borderId="22" applyNumberFormat="0" applyProtection="0">
      <alignment vertical="center"/>
    </xf>
    <xf numFmtId="4" fontId="42" fillId="59" borderId="22" applyNumberFormat="0" applyProtection="0">
      <alignment vertical="center"/>
    </xf>
    <xf numFmtId="4" fontId="38" fillId="43" borderId="24" applyNumberFormat="0" applyProtection="0">
      <alignment horizontal="left" vertical="center" indent="1"/>
    </xf>
    <xf numFmtId="4" fontId="38" fillId="43" borderId="24" applyNumberFormat="0" applyProtection="0">
      <alignment horizontal="left" vertical="center" indent="1"/>
    </xf>
    <xf numFmtId="4" fontId="38" fillId="43" borderId="24" applyNumberFormat="0" applyProtection="0">
      <alignment horizontal="left" vertical="center" indent="1"/>
    </xf>
    <xf numFmtId="4" fontId="38" fillId="43" borderId="24" applyNumberFormat="0" applyProtection="0">
      <alignment horizontal="left" vertical="center" indent="1"/>
    </xf>
    <xf numFmtId="4" fontId="43" fillId="59" borderId="0" applyNumberFormat="0" applyProtection="0">
      <alignment horizontal="right" vertical="center"/>
    </xf>
    <xf numFmtId="4" fontId="42" fillId="59" borderId="22" applyNumberFormat="0" applyProtection="0">
      <alignment horizontal="right" vertical="center"/>
    </xf>
    <xf numFmtId="4" fontId="42" fillId="59" borderId="22" applyNumberFormat="0" applyProtection="0">
      <alignment horizontal="right" vertical="center"/>
    </xf>
    <xf numFmtId="4" fontId="42" fillId="59" borderId="22" applyNumberFormat="0" applyProtection="0">
      <alignment horizontal="right" vertical="center"/>
    </xf>
    <xf numFmtId="4" fontId="42" fillId="59" borderId="22" applyNumberFormat="0" applyProtection="0">
      <alignment horizontal="right" vertical="center"/>
    </xf>
    <xf numFmtId="4" fontId="38" fillId="43" borderId="22" applyNumberFormat="0" applyProtection="0">
      <alignment horizontal="left" vertical="center" indent="1"/>
    </xf>
    <xf numFmtId="4" fontId="38" fillId="43" borderId="22" applyNumberFormat="0" applyProtection="0">
      <alignment horizontal="left" vertical="center" indent="1"/>
    </xf>
    <xf numFmtId="4" fontId="38" fillId="43" borderId="22" applyNumberFormat="0" applyProtection="0">
      <alignment horizontal="left" vertical="center" indent="1"/>
    </xf>
    <xf numFmtId="4" fontId="38" fillId="43" borderId="22" applyNumberFormat="0" applyProtection="0">
      <alignment horizontal="left" vertical="center" indent="1"/>
    </xf>
    <xf numFmtId="4" fontId="44" fillId="60" borderId="24" applyNumberFormat="0" applyProtection="0">
      <alignment horizontal="left" vertical="center" indent="1"/>
    </xf>
    <xf numFmtId="4" fontId="44" fillId="60" borderId="24" applyNumberFormat="0" applyProtection="0">
      <alignment horizontal="left" vertical="center" indent="1"/>
    </xf>
    <xf numFmtId="4" fontId="44" fillId="60" borderId="24" applyNumberFormat="0" applyProtection="0">
      <alignment horizontal="left" vertical="center" indent="1"/>
    </xf>
    <xf numFmtId="4" fontId="44" fillId="60" borderId="24" applyNumberFormat="0" applyProtection="0">
      <alignment horizontal="left" vertical="center" indent="1"/>
    </xf>
    <xf numFmtId="4" fontId="45" fillId="59" borderId="22" applyNumberFormat="0" applyProtection="0">
      <alignment horizontal="right" vertical="center"/>
    </xf>
    <xf numFmtId="4" fontId="45" fillId="59" borderId="22" applyNumberFormat="0" applyProtection="0">
      <alignment horizontal="right" vertical="center"/>
    </xf>
    <xf numFmtId="4" fontId="45" fillId="59" borderId="22" applyNumberFormat="0" applyProtection="0">
      <alignment horizontal="right" vertical="center"/>
    </xf>
    <xf numFmtId="4" fontId="45" fillId="59" borderId="22" applyNumberFormat="0" applyProtection="0">
      <alignment horizontal="right" vertical="center"/>
    </xf>
    <xf numFmtId="0" fontId="63" fillId="4" borderId="0" applyNumberFormat="0" applyBorder="0" applyAlignment="0" applyProtection="0"/>
    <xf numFmtId="0" fontId="63" fillId="4" borderId="0" applyNumberFormat="0" applyBorder="0" applyAlignment="0" applyProtection="0"/>
    <xf numFmtId="0" fontId="64" fillId="34" borderId="20" applyNumberFormat="0" applyAlignment="0" applyProtection="0"/>
    <xf numFmtId="0" fontId="64" fillId="34" borderId="20" applyNumberFormat="0" applyAlignment="0" applyProtection="0"/>
    <xf numFmtId="181" fontId="7" fillId="0" borderId="0" applyBorder="0" applyProtection="0">
      <alignment horizontal="left" vertical="top"/>
    </xf>
    <xf numFmtId="182" fontId="7" fillId="0" borderId="0" applyBorder="0" applyProtection="0">
      <alignment horizontal="left" vertical="top"/>
    </xf>
    <xf numFmtId="0" fontId="5" fillId="0" borderId="0"/>
    <xf numFmtId="0" fontId="5" fillId="0" borderId="0"/>
    <xf numFmtId="173" fontId="3" fillId="0" borderId="0"/>
    <xf numFmtId="173" fontId="5" fillId="0" borderId="0"/>
    <xf numFmtId="173" fontId="5" fillId="0" borderId="0"/>
    <xf numFmtId="173" fontId="5" fillId="0" borderId="0"/>
    <xf numFmtId="173" fontId="5" fillId="0" borderId="0"/>
    <xf numFmtId="0" fontId="12" fillId="0" borderId="0">
      <alignment horizontal="center"/>
    </xf>
    <xf numFmtId="0" fontId="4" fillId="0" borderId="0">
      <alignment horizontal="center"/>
    </xf>
    <xf numFmtId="0" fontId="4" fillId="0" borderId="0">
      <alignment horizontal="center"/>
    </xf>
    <xf numFmtId="0" fontId="12" fillId="0" borderId="0">
      <alignment horizontal="left"/>
    </xf>
    <xf numFmtId="0" fontId="4" fillId="0" borderId="0">
      <alignment horizontal="left"/>
    </xf>
    <xf numFmtId="0" fontId="4" fillId="0" borderId="0">
      <alignment horizontal="left"/>
    </xf>
    <xf numFmtId="183" fontId="16" fillId="0" borderId="0" applyBorder="0" applyProtection="0">
      <alignment horizontal="left" vertical="top"/>
    </xf>
    <xf numFmtId="178" fontId="53" fillId="0" borderId="25">
      <alignment vertical="top"/>
    </xf>
    <xf numFmtId="178" fontId="39" fillId="0" borderId="25">
      <alignment vertical="top"/>
    </xf>
    <xf numFmtId="185" fontId="77" fillId="0" borderId="26">
      <alignment horizontal="center" vertical="center" wrapText="1"/>
    </xf>
    <xf numFmtId="0" fontId="65" fillId="0" borderId="0" applyNumberFormat="0" applyFill="0" applyBorder="0" applyAlignment="0" applyProtection="0"/>
    <xf numFmtId="184" fontId="5" fillId="0" borderId="0">
      <alignment horizontal="right" vertical="top"/>
    </xf>
    <xf numFmtId="0" fontId="66" fillId="0" borderId="0" applyNumberFormat="0" applyFill="0" applyBorder="0" applyAlignment="0" applyProtection="0"/>
    <xf numFmtId="0" fontId="66" fillId="0" borderId="0" applyNumberFormat="0" applyFill="0" applyBorder="0" applyAlignment="0" applyProtection="0"/>
    <xf numFmtId="0" fontId="92" fillId="0" borderId="0"/>
    <xf numFmtId="0" fontId="67" fillId="0" borderId="13" applyNumberFormat="0" applyFill="0" applyAlignment="0" applyProtection="0"/>
    <xf numFmtId="0" fontId="68" fillId="0" borderId="14" applyNumberFormat="0" applyFill="0" applyAlignment="0" applyProtection="0"/>
    <xf numFmtId="0" fontId="69" fillId="0" borderId="15" applyNumberFormat="0" applyFill="0" applyAlignment="0" applyProtection="0"/>
    <xf numFmtId="0" fontId="69" fillId="0" borderId="0" applyNumberFormat="0" applyFill="0" applyBorder="0" applyAlignment="0" applyProtection="0"/>
    <xf numFmtId="0" fontId="46" fillId="0" borderId="27" applyBorder="0"/>
    <xf numFmtId="0" fontId="26" fillId="0" borderId="27" applyBorder="0"/>
    <xf numFmtId="0" fontId="87" fillId="0" borderId="27" applyBorder="0"/>
    <xf numFmtId="0" fontId="26" fillId="0" borderId="27" applyBorder="0"/>
    <xf numFmtId="0" fontId="26" fillId="0" borderId="27" applyBorder="0"/>
    <xf numFmtId="0" fontId="26" fillId="0" borderId="27" applyBorder="0"/>
    <xf numFmtId="0" fontId="26" fillId="0" borderId="27" applyBorder="0"/>
    <xf numFmtId="0" fontId="70" fillId="0" borderId="28" applyNumberFormat="0" applyFill="0" applyAlignment="0" applyProtection="0"/>
    <xf numFmtId="0" fontId="47" fillId="0" borderId="29" applyBorder="0"/>
    <xf numFmtId="0" fontId="13" fillId="0" borderId="29" applyBorder="0"/>
    <xf numFmtId="0" fontId="13" fillId="0" borderId="29" applyBorder="0"/>
    <xf numFmtId="0" fontId="88" fillId="0" borderId="29" applyBorder="0"/>
    <xf numFmtId="0" fontId="13" fillId="0" borderId="29" applyBorder="0"/>
    <xf numFmtId="0" fontId="13" fillId="0" borderId="29" applyBorder="0"/>
    <xf numFmtId="0" fontId="13" fillId="0" borderId="29" applyBorder="0"/>
    <xf numFmtId="0" fontId="48" fillId="0" borderId="30" applyBorder="0"/>
    <xf numFmtId="0" fontId="48" fillId="0" borderId="30" applyBorder="0"/>
    <xf numFmtId="0" fontId="48" fillId="0" borderId="30" applyBorder="0"/>
    <xf numFmtId="0" fontId="89" fillId="0" borderId="30" applyBorder="0"/>
    <xf numFmtId="0" fontId="48" fillId="0" borderId="30" applyBorder="0"/>
    <xf numFmtId="0" fontId="48" fillId="0" borderId="30" applyBorder="0"/>
    <xf numFmtId="0" fontId="48" fillId="0" borderId="30" applyBorder="0"/>
    <xf numFmtId="0" fontId="71" fillId="61" borderId="7" applyNumberFormat="0" applyAlignment="0" applyProtection="0"/>
    <xf numFmtId="0" fontId="71" fillId="61" borderId="7" applyNumberFormat="0" applyAlignment="0" applyProtection="0"/>
    <xf numFmtId="0" fontId="57" fillId="0" borderId="0" applyNumberFormat="0" applyFill="0" applyBorder="0" applyAlignment="0" applyProtection="0"/>
    <xf numFmtId="0" fontId="78" fillId="0" borderId="0"/>
    <xf numFmtId="0" fontId="90" fillId="0" borderId="0"/>
    <xf numFmtId="0" fontId="5" fillId="0" borderId="62" applyNumberFormat="0" applyFill="0" applyAlignment="0" applyProtection="0"/>
    <xf numFmtId="165" fontId="5" fillId="0" borderId="0" applyFont="0" applyFill="0" applyBorder="0" applyAlignment="0" applyProtection="0"/>
    <xf numFmtId="0" fontId="5" fillId="36" borderId="8" applyNumberFormat="0" applyFont="0" applyAlignment="0" applyProtection="0"/>
    <xf numFmtId="164" fontId="5" fillId="0" borderId="0" applyFont="0" applyFill="0" applyBorder="0" applyAlignment="0" applyProtection="0"/>
    <xf numFmtId="167" fontId="3" fillId="37" borderId="58">
      <alignment horizontal="center"/>
    </xf>
    <xf numFmtId="167" fontId="5" fillId="37" borderId="58">
      <alignment horizontal="center"/>
    </xf>
    <xf numFmtId="167" fontId="5" fillId="37" borderId="58">
      <alignment horizontal="center"/>
    </xf>
    <xf numFmtId="167" fontId="5" fillId="37" borderId="58">
      <alignment horizontal="center"/>
    </xf>
    <xf numFmtId="171" fontId="5" fillId="0" borderId="0" applyFont="0" applyFill="0" applyBorder="0" applyAlignment="0" applyProtection="0"/>
    <xf numFmtId="171" fontId="5" fillId="0" borderId="0" applyFont="0" applyFill="0" applyBorder="0" applyAlignment="0" applyProtection="0"/>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0" fontId="22" fillId="0" borderId="0" applyNumberFormat="0" applyFill="0" applyBorder="0" applyAlignment="0" applyProtection="0"/>
    <xf numFmtId="0" fontId="22" fillId="0" borderId="0" applyNumberFormat="0" applyFill="0" applyBorder="0" applyAlignment="0" applyProtection="0">
      <alignment vertical="top"/>
      <protection locked="0"/>
    </xf>
    <xf numFmtId="0" fontId="75" fillId="0" borderId="0" applyNumberFormat="0" applyFill="0" applyBorder="0" applyAlignment="0" applyProtection="0">
      <alignment vertical="top"/>
      <protection locked="0"/>
    </xf>
    <xf numFmtId="0" fontId="2" fillId="0" borderId="0"/>
    <xf numFmtId="0" fontId="2" fillId="0" borderId="0"/>
    <xf numFmtId="9" fontId="5" fillId="0" borderId="0" applyFont="0" applyFill="0" applyBorder="0" applyAlignment="0" applyProtection="0"/>
    <xf numFmtId="4" fontId="38" fillId="58" borderId="64" applyNumberFormat="0" applyProtection="0">
      <alignment horizontal="left" vertical="center" indent="1"/>
    </xf>
    <xf numFmtId="4" fontId="38" fillId="58" borderId="64" applyNumberFormat="0" applyProtection="0">
      <alignment horizontal="left" vertical="center" indent="1"/>
    </xf>
    <xf numFmtId="4" fontId="38" fillId="58" borderId="64" applyNumberFormat="0" applyProtection="0">
      <alignment horizontal="left" vertical="center" indent="1"/>
    </xf>
    <xf numFmtId="178" fontId="39" fillId="0" borderId="65">
      <alignment vertical="top"/>
    </xf>
    <xf numFmtId="178" fontId="39" fillId="0" borderId="65">
      <alignment vertical="top"/>
    </xf>
    <xf numFmtId="0" fontId="1" fillId="0" borderId="0"/>
    <xf numFmtId="0" fontId="1" fillId="0" borderId="0"/>
    <xf numFmtId="0" fontId="1" fillId="0" borderId="0"/>
    <xf numFmtId="0" fontId="1" fillId="0" borderId="0"/>
  </cellStyleXfs>
  <cellXfs count="318">
    <xf numFmtId="0" fontId="0" fillId="0" borderId="0" xfId="0"/>
    <xf numFmtId="0" fontId="4" fillId="68" borderId="48" xfId="958" applyFont="1" applyFill="1" applyBorder="1" applyAlignment="1">
      <alignment horizontal="right" vertical="center"/>
    </xf>
    <xf numFmtId="0" fontId="4" fillId="68" borderId="46" xfId="958" applyFont="1" applyFill="1" applyBorder="1" applyAlignment="1">
      <alignment horizontal="right" vertical="center"/>
    </xf>
    <xf numFmtId="0" fontId="5" fillId="0" borderId="0" xfId="946"/>
    <xf numFmtId="0" fontId="5" fillId="0" borderId="0" xfId="946" applyAlignment="1">
      <alignment horizontal="center"/>
    </xf>
    <xf numFmtId="0" fontId="5" fillId="0" borderId="0" xfId="956"/>
    <xf numFmtId="0" fontId="17" fillId="0" borderId="0" xfId="956" applyFont="1" applyAlignment="1">
      <alignment horizontal="center" vertical="center"/>
    </xf>
    <xf numFmtId="0" fontId="6" fillId="0" borderId="0" xfId="956" applyFont="1"/>
    <xf numFmtId="0" fontId="4" fillId="0" borderId="0" xfId="956" applyFont="1"/>
    <xf numFmtId="0" fontId="7" fillId="0" borderId="25" xfId="956" applyFont="1" applyBorder="1" applyAlignment="1">
      <alignment vertical="center"/>
    </xf>
    <xf numFmtId="0" fontId="21" fillId="0" borderId="0" xfId="956" applyFont="1" applyAlignment="1">
      <alignment horizontal="center" vertical="center"/>
    </xf>
    <xf numFmtId="0" fontId="6" fillId="0" borderId="0" xfId="956" applyFont="1" applyAlignment="1">
      <alignment horizontal="center" vertical="center"/>
    </xf>
    <xf numFmtId="0" fontId="7" fillId="0" borderId="0" xfId="956" applyFont="1" applyAlignment="1">
      <alignment vertical="center"/>
    </xf>
    <xf numFmtId="0" fontId="4" fillId="0" borderId="0" xfId="956" applyFont="1" applyAlignment="1">
      <alignment horizontal="center" vertical="center"/>
    </xf>
    <xf numFmtId="0" fontId="5" fillId="0" borderId="0" xfId="956" applyAlignment="1">
      <alignment horizontal="center" vertical="center"/>
    </xf>
    <xf numFmtId="0" fontId="6" fillId="0" borderId="0" xfId="956" applyFont="1" applyAlignment="1">
      <alignment horizontal="left" vertical="center"/>
    </xf>
    <xf numFmtId="0" fontId="5" fillId="0" borderId="0" xfId="957"/>
    <xf numFmtId="0" fontId="6" fillId="0" borderId="0" xfId="946" applyFont="1" applyAlignment="1">
      <alignment horizontal="center" vertical="center" wrapText="1"/>
    </xf>
    <xf numFmtId="0" fontId="4" fillId="0" borderId="0" xfId="946" applyFont="1" applyAlignment="1">
      <alignment horizontal="center" vertical="center"/>
    </xf>
    <xf numFmtId="0" fontId="16" fillId="0" borderId="0" xfId="946" applyFont="1" applyAlignment="1">
      <alignment horizontal="left" vertical="center"/>
    </xf>
    <xf numFmtId="0" fontId="5" fillId="0" borderId="0" xfId="960"/>
    <xf numFmtId="0" fontId="5" fillId="0" borderId="0" xfId="961" applyAlignment="1">
      <alignment horizontal="center" vertical="center"/>
    </xf>
    <xf numFmtId="0" fontId="79" fillId="0" borderId="0" xfId="960" applyFont="1"/>
    <xf numFmtId="0" fontId="5" fillId="0" borderId="17" xfId="946" applyBorder="1"/>
    <xf numFmtId="0" fontId="91" fillId="0" borderId="0" xfId="956" quotePrefix="1" applyFont="1"/>
    <xf numFmtId="0" fontId="91" fillId="0" borderId="0" xfId="956" applyFont="1"/>
    <xf numFmtId="0" fontId="5" fillId="0" borderId="0" xfId="946" applyAlignment="1">
      <alignment horizontal="left" indent="2"/>
    </xf>
    <xf numFmtId="0" fontId="16" fillId="0" borderId="0" xfId="946" applyFont="1" applyAlignment="1">
      <alignment horizontal="left"/>
    </xf>
    <xf numFmtId="0" fontId="5" fillId="0" borderId="0" xfId="946" applyAlignment="1">
      <alignment horizontal="left"/>
    </xf>
    <xf numFmtId="0" fontId="5" fillId="0" borderId="0" xfId="946" applyAlignment="1">
      <alignment horizontal="left" vertical="center"/>
    </xf>
    <xf numFmtId="0" fontId="5" fillId="0" borderId="0" xfId="946" applyAlignment="1">
      <alignment vertical="center"/>
    </xf>
    <xf numFmtId="0" fontId="4" fillId="0" borderId="0" xfId="946" applyFont="1" applyAlignment="1">
      <alignment horizontal="right" wrapText="1"/>
    </xf>
    <xf numFmtId="0" fontId="16" fillId="0" borderId="31" xfId="960" applyFont="1" applyBorder="1" applyAlignment="1">
      <alignment vertical="top" wrapText="1"/>
    </xf>
    <xf numFmtId="0" fontId="16" fillId="0" borderId="32" xfId="960" applyFont="1" applyBorder="1" applyAlignment="1">
      <alignment horizontal="left" vertical="top" wrapText="1"/>
    </xf>
    <xf numFmtId="0" fontId="16" fillId="0" borderId="9" xfId="960" applyFont="1" applyBorder="1" applyAlignment="1">
      <alignment horizontal="left" vertical="top" wrapText="1"/>
    </xf>
    <xf numFmtId="0" fontId="16" fillId="0" borderId="33" xfId="960" applyFont="1" applyBorder="1" applyAlignment="1">
      <alignment horizontal="left" vertical="top" wrapText="1"/>
    </xf>
    <xf numFmtId="0" fontId="4" fillId="0" borderId="0" xfId="946" applyFont="1" applyAlignment="1">
      <alignment vertical="center" wrapText="1"/>
    </xf>
    <xf numFmtId="0" fontId="4" fillId="0" borderId="0" xfId="946" applyFont="1" applyAlignment="1" applyProtection="1">
      <alignment horizontal="right" vertical="center" wrapText="1"/>
      <protection locked="0"/>
    </xf>
    <xf numFmtId="187" fontId="4" fillId="0" borderId="0" xfId="946" applyNumberFormat="1" applyFont="1" applyAlignment="1" applyProtection="1">
      <alignment vertical="center" wrapText="1"/>
      <protection locked="0"/>
    </xf>
    <xf numFmtId="0" fontId="10" fillId="0" borderId="0" xfId="0" applyFont="1" applyAlignment="1">
      <alignment vertical="top"/>
    </xf>
    <xf numFmtId="0" fontId="10" fillId="0" borderId="0" xfId="0" applyFont="1" applyAlignment="1">
      <alignment vertical="top" wrapText="1"/>
    </xf>
    <xf numFmtId="0" fontId="10" fillId="0" borderId="0" xfId="0" applyFont="1" applyAlignment="1">
      <alignment horizontal="center"/>
    </xf>
    <xf numFmtId="0" fontId="13" fillId="0" borderId="0" xfId="0" applyFont="1" applyAlignment="1">
      <alignment horizontal="center" vertical="top"/>
    </xf>
    <xf numFmtId="49" fontId="13" fillId="0" borderId="0" xfId="0" applyNumberFormat="1" applyFont="1" applyAlignment="1">
      <alignment horizontal="center" vertical="top"/>
    </xf>
    <xf numFmtId="0" fontId="13" fillId="0" borderId="34" xfId="0" applyFont="1" applyBorder="1" applyAlignment="1">
      <alignment horizontal="center" vertical="top"/>
    </xf>
    <xf numFmtId="49" fontId="13" fillId="0" borderId="34" xfId="0" applyNumberFormat="1" applyFont="1" applyBorder="1" applyAlignment="1">
      <alignment horizontal="center" vertical="top"/>
    </xf>
    <xf numFmtId="0" fontId="5" fillId="62" borderId="0" xfId="956" applyFill="1"/>
    <xf numFmtId="0" fontId="6" fillId="62" borderId="0" xfId="960" applyFont="1" applyFill="1"/>
    <xf numFmtId="0" fontId="5" fillId="62" borderId="0" xfId="960" applyFill="1"/>
    <xf numFmtId="0" fontId="4" fillId="62" borderId="19" xfId="0" applyFont="1" applyFill="1" applyBorder="1" applyAlignment="1">
      <alignment horizontal="center" vertical="center" wrapText="1"/>
    </xf>
    <xf numFmtId="0" fontId="4" fillId="62" borderId="35" xfId="0" applyFont="1" applyFill="1" applyBorder="1" applyAlignment="1">
      <alignment horizontal="center" vertical="center" wrapText="1"/>
    </xf>
    <xf numFmtId="0" fontId="19" fillId="62" borderId="36" xfId="946" applyFont="1" applyFill="1" applyBorder="1" applyAlignment="1" applyProtection="1">
      <alignment horizontal="center" vertical="center" wrapText="1"/>
      <protection locked="0"/>
    </xf>
    <xf numFmtId="0" fontId="54" fillId="62" borderId="36" xfId="946" applyFont="1" applyFill="1" applyBorder="1" applyAlignment="1" applyProtection="1">
      <alignment horizontal="center" vertical="center" wrapText="1"/>
      <protection locked="0"/>
    </xf>
    <xf numFmtId="0" fontId="54" fillId="62" borderId="37" xfId="946" applyFont="1" applyFill="1" applyBorder="1" applyAlignment="1" applyProtection="1">
      <alignment horizontal="center" vertical="center" wrapText="1"/>
      <protection locked="0"/>
    </xf>
    <xf numFmtId="0" fontId="7" fillId="62" borderId="38" xfId="946" applyFont="1" applyFill="1" applyBorder="1" applyAlignment="1" applyProtection="1">
      <alignment horizontal="center" vertical="center" wrapText="1"/>
      <protection locked="0"/>
    </xf>
    <xf numFmtId="0" fontId="13" fillId="62" borderId="11" xfId="0" applyFont="1" applyFill="1" applyBorder="1" applyAlignment="1">
      <alignment horizontal="center" vertical="top" wrapText="1"/>
    </xf>
    <xf numFmtId="0" fontId="4" fillId="63" borderId="19" xfId="0" applyFont="1" applyFill="1" applyBorder="1" applyAlignment="1">
      <alignment horizontal="left" vertical="top"/>
    </xf>
    <xf numFmtId="0" fontId="13" fillId="62" borderId="19" xfId="0" applyFont="1" applyFill="1" applyBorder="1" applyAlignment="1">
      <alignment horizontal="center" vertical="top" wrapText="1"/>
    </xf>
    <xf numFmtId="0" fontId="15" fillId="64" borderId="19" xfId="0" applyFont="1" applyFill="1" applyBorder="1" applyAlignment="1">
      <alignment horizontal="left" vertical="top"/>
    </xf>
    <xf numFmtId="186" fontId="10" fillId="65" borderId="17" xfId="0" applyNumberFormat="1" applyFont="1" applyFill="1" applyBorder="1" applyAlignment="1">
      <alignment horizontal="center" vertical="center"/>
    </xf>
    <xf numFmtId="0" fontId="4" fillId="65" borderId="17" xfId="946" applyFont="1" applyFill="1" applyBorder="1" applyAlignment="1">
      <alignment vertical="center" wrapText="1"/>
    </xf>
    <xf numFmtId="0" fontId="4" fillId="65" borderId="17" xfId="946" applyFont="1" applyFill="1" applyBorder="1" applyAlignment="1" applyProtection="1">
      <alignment vertical="center" wrapText="1"/>
      <protection locked="0"/>
    </xf>
    <xf numFmtId="0" fontId="4" fillId="65" borderId="39" xfId="946" applyFont="1" applyFill="1" applyBorder="1" applyAlignment="1" applyProtection="1">
      <alignment vertical="center" wrapText="1"/>
      <protection locked="0"/>
    </xf>
    <xf numFmtId="187" fontId="4" fillId="65" borderId="39" xfId="946" applyNumberFormat="1" applyFont="1" applyFill="1" applyBorder="1" applyAlignment="1" applyProtection="1">
      <alignment vertical="center" wrapText="1"/>
      <protection locked="0"/>
    </xf>
    <xf numFmtId="9" fontId="4" fillId="65" borderId="39" xfId="946" applyNumberFormat="1" applyFont="1" applyFill="1" applyBorder="1" applyAlignment="1" applyProtection="1">
      <alignment vertical="center" wrapText="1"/>
      <protection locked="0"/>
    </xf>
    <xf numFmtId="14" fontId="4" fillId="65" borderId="39" xfId="946" applyNumberFormat="1" applyFont="1" applyFill="1" applyBorder="1" applyAlignment="1" applyProtection="1">
      <alignment vertical="center" wrapText="1"/>
      <protection locked="0"/>
    </xf>
    <xf numFmtId="189" fontId="4" fillId="65" borderId="40" xfId="946" applyNumberFormat="1" applyFont="1" applyFill="1" applyBorder="1" applyAlignment="1" applyProtection="1">
      <alignment vertical="center" wrapText="1"/>
      <protection locked="0"/>
    </xf>
    <xf numFmtId="0" fontId="4" fillId="65" borderId="10" xfId="946" applyFont="1" applyFill="1" applyBorder="1" applyAlignment="1">
      <alignment vertical="center" wrapText="1"/>
    </xf>
    <xf numFmtId="0" fontId="4" fillId="65" borderId="41" xfId="946" applyFont="1" applyFill="1" applyBorder="1" applyAlignment="1" applyProtection="1">
      <alignment horizontal="right" vertical="center" wrapText="1"/>
      <protection locked="0"/>
    </xf>
    <xf numFmtId="189" fontId="4" fillId="65" borderId="39" xfId="946" applyNumberFormat="1" applyFont="1" applyFill="1" applyBorder="1" applyAlignment="1" applyProtection="1">
      <alignment horizontal="center" vertical="center" wrapText="1"/>
      <protection locked="0"/>
    </xf>
    <xf numFmtId="189" fontId="4" fillId="65" borderId="39" xfId="946" applyNumberFormat="1" applyFont="1" applyFill="1" applyBorder="1" applyAlignment="1" applyProtection="1">
      <alignment vertical="center" wrapText="1"/>
      <protection locked="0"/>
    </xf>
    <xf numFmtId="0" fontId="4" fillId="65" borderId="42" xfId="946" applyFont="1" applyFill="1" applyBorder="1" applyAlignment="1">
      <alignment vertical="center" wrapText="1"/>
    </xf>
    <xf numFmtId="0" fontId="4" fillId="65" borderId="41" xfId="946" applyFont="1" applyFill="1" applyBorder="1" applyAlignment="1" applyProtection="1">
      <alignment vertical="center" wrapText="1"/>
      <protection locked="0"/>
    </xf>
    <xf numFmtId="0" fontId="4" fillId="65" borderId="40" xfId="946" applyFont="1" applyFill="1" applyBorder="1" applyAlignment="1" applyProtection="1">
      <alignment vertical="center" wrapText="1"/>
      <protection locked="0"/>
    </xf>
    <xf numFmtId="0" fontId="4" fillId="65" borderId="42" xfId="946" applyFont="1" applyFill="1" applyBorder="1" applyAlignment="1" applyProtection="1">
      <alignment vertical="center" wrapText="1"/>
      <protection locked="0"/>
    </xf>
    <xf numFmtId="0" fontId="4" fillId="65" borderId="43" xfId="946" applyFont="1" applyFill="1" applyBorder="1" applyAlignment="1">
      <alignment vertical="center" wrapText="1"/>
    </xf>
    <xf numFmtId="0" fontId="4" fillId="0" borderId="0" xfId="946" applyFont="1"/>
    <xf numFmtId="0" fontId="0" fillId="65" borderId="44" xfId="0" applyFill="1" applyBorder="1" applyAlignment="1">
      <alignment horizontal="center" vertical="center" wrapText="1"/>
    </xf>
    <xf numFmtId="0" fontId="5" fillId="65" borderId="44" xfId="0" applyFont="1" applyFill="1" applyBorder="1" applyAlignment="1">
      <alignment horizontal="justify" vertical="center" wrapText="1"/>
    </xf>
    <xf numFmtId="0" fontId="5" fillId="65" borderId="17" xfId="0" applyFont="1" applyFill="1" applyBorder="1" applyAlignment="1">
      <alignment horizontal="center" vertical="center" wrapText="1"/>
    </xf>
    <xf numFmtId="0" fontId="5" fillId="65" borderId="44" xfId="0" applyFont="1" applyFill="1" applyBorder="1" applyAlignment="1">
      <alignment horizontal="center" vertical="center" wrapText="1"/>
    </xf>
    <xf numFmtId="14" fontId="0" fillId="65" borderId="44" xfId="0" applyNumberFormat="1" applyFill="1" applyBorder="1" applyAlignment="1">
      <alignment horizontal="center" vertical="center" wrapText="1"/>
    </xf>
    <xf numFmtId="0" fontId="4" fillId="65" borderId="44" xfId="0" applyFont="1" applyFill="1" applyBorder="1" applyAlignment="1">
      <alignment horizontal="justify" vertical="center" wrapText="1"/>
    </xf>
    <xf numFmtId="0" fontId="0" fillId="65" borderId="17" xfId="0" applyFill="1" applyBorder="1" applyAlignment="1">
      <alignment horizontal="center" vertical="center" wrapText="1"/>
    </xf>
    <xf numFmtId="0" fontId="5" fillId="65" borderId="17" xfId="0" applyFont="1" applyFill="1" applyBorder="1" applyAlignment="1">
      <alignment horizontal="justify" vertical="center" wrapText="1"/>
    </xf>
    <xf numFmtId="14" fontId="0" fillId="65" borderId="17" xfId="0" applyNumberFormat="1" applyFill="1" applyBorder="1" applyAlignment="1">
      <alignment horizontal="center" vertical="center" wrapText="1"/>
    </xf>
    <xf numFmtId="14" fontId="5" fillId="65" borderId="17" xfId="0" applyNumberFormat="1" applyFont="1" applyFill="1" applyBorder="1" applyAlignment="1">
      <alignment horizontal="center" vertical="center" wrapText="1"/>
    </xf>
    <xf numFmtId="0" fontId="4" fillId="65" borderId="17" xfId="0" applyFont="1" applyFill="1" applyBorder="1" applyAlignment="1">
      <alignment horizontal="center" vertical="center" wrapText="1"/>
    </xf>
    <xf numFmtId="0" fontId="4" fillId="62" borderId="11" xfId="0" applyFont="1" applyFill="1" applyBorder="1" applyAlignment="1">
      <alignment horizontal="center" wrapText="1"/>
    </xf>
    <xf numFmtId="0" fontId="18" fillId="62" borderId="45" xfId="0" applyFont="1" applyFill="1" applyBorder="1" applyAlignment="1">
      <alignment horizontal="center" vertical="center" wrapText="1"/>
    </xf>
    <xf numFmtId="0" fontId="16" fillId="65" borderId="17" xfId="0" applyFont="1" applyFill="1" applyBorder="1" applyAlignment="1">
      <alignment horizontal="center" vertical="center"/>
    </xf>
    <xf numFmtId="0" fontId="16" fillId="65" borderId="17" xfId="0" applyFont="1" applyFill="1" applyBorder="1" applyAlignment="1">
      <alignment horizontal="left" vertical="center" wrapText="1"/>
    </xf>
    <xf numFmtId="14" fontId="16" fillId="65" borderId="17" xfId="0" applyNumberFormat="1" applyFont="1" applyFill="1" applyBorder="1" applyAlignment="1">
      <alignment horizontal="center" vertical="center"/>
    </xf>
    <xf numFmtId="190" fontId="16" fillId="65" borderId="17" xfId="0" applyNumberFormat="1" applyFont="1" applyFill="1" applyBorder="1" applyAlignment="1">
      <alignment horizontal="center" vertical="center"/>
    </xf>
    <xf numFmtId="0" fontId="6" fillId="68" borderId="46" xfId="957" applyFont="1" applyFill="1" applyBorder="1" applyAlignment="1">
      <alignment vertical="center"/>
    </xf>
    <xf numFmtId="0" fontId="6" fillId="68" borderId="34" xfId="957" applyFont="1" applyFill="1" applyBorder="1" applyAlignment="1">
      <alignment vertical="center"/>
    </xf>
    <xf numFmtId="0" fontId="6" fillId="68" borderId="47" xfId="957" applyFont="1" applyFill="1" applyBorder="1" applyAlignment="1">
      <alignment vertical="center"/>
    </xf>
    <xf numFmtId="0" fontId="6" fillId="68" borderId="0" xfId="957" applyFont="1" applyFill="1" applyAlignment="1">
      <alignment vertical="center"/>
    </xf>
    <xf numFmtId="0" fontId="6" fillId="68" borderId="48" xfId="957" applyFont="1" applyFill="1" applyBorder="1" applyAlignment="1">
      <alignment vertical="center"/>
    </xf>
    <xf numFmtId="0" fontId="6" fillId="68" borderId="21" xfId="957" applyFont="1" applyFill="1" applyBorder="1" applyAlignment="1">
      <alignment vertical="center"/>
    </xf>
    <xf numFmtId="0" fontId="6" fillId="68" borderId="46" xfId="959" applyFont="1" applyFill="1" applyBorder="1" applyAlignment="1">
      <alignment vertical="center"/>
    </xf>
    <xf numFmtId="0" fontId="4" fillId="68" borderId="45" xfId="959" applyFont="1" applyFill="1" applyBorder="1" applyAlignment="1">
      <alignment horizontal="right" vertical="center"/>
    </xf>
    <xf numFmtId="0" fontId="6" fillId="68" borderId="47" xfId="959" applyFont="1" applyFill="1" applyBorder="1" applyAlignment="1">
      <alignment vertical="center"/>
    </xf>
    <xf numFmtId="14" fontId="4" fillId="68" borderId="49" xfId="959" applyNumberFormat="1" applyFont="1" applyFill="1" applyBorder="1" applyAlignment="1">
      <alignment horizontal="right" vertical="center"/>
    </xf>
    <xf numFmtId="0" fontId="6" fillId="68" borderId="48" xfId="959" applyFont="1" applyFill="1" applyBorder="1" applyAlignment="1">
      <alignment vertical="center"/>
    </xf>
    <xf numFmtId="14" fontId="4" fillId="68" borderId="50" xfId="959" applyNumberFormat="1" applyFont="1" applyFill="1" applyBorder="1" applyAlignment="1">
      <alignment horizontal="right" vertical="center"/>
    </xf>
    <xf numFmtId="0" fontId="4" fillId="68" borderId="47" xfId="958" applyFont="1" applyFill="1" applyBorder="1" applyAlignment="1">
      <alignment horizontal="right" vertical="center"/>
    </xf>
    <xf numFmtId="0" fontId="7" fillId="0" borderId="31" xfId="960" applyFont="1" applyBorder="1" applyAlignment="1">
      <alignment vertical="top" wrapText="1"/>
    </xf>
    <xf numFmtId="0" fontId="13" fillId="62" borderId="19" xfId="0" applyFont="1" applyFill="1" applyBorder="1" applyAlignment="1">
      <alignment horizontal="left" vertical="top" wrapText="1"/>
    </xf>
    <xf numFmtId="0" fontId="4" fillId="68" borderId="34" xfId="958" applyFont="1" applyFill="1" applyBorder="1" applyAlignment="1">
      <alignment horizontal="right" vertical="center"/>
    </xf>
    <xf numFmtId="0" fontId="4" fillId="68" borderId="0" xfId="958" applyFont="1" applyFill="1" applyAlignment="1">
      <alignment horizontal="right" vertical="center"/>
    </xf>
    <xf numFmtId="0" fontId="4" fillId="68" borderId="21" xfId="958" applyFont="1" applyFill="1" applyBorder="1" applyAlignment="1">
      <alignment horizontal="right" vertical="center"/>
    </xf>
    <xf numFmtId="0" fontId="6" fillId="68" borderId="46" xfId="956" applyFont="1" applyFill="1" applyBorder="1" applyAlignment="1">
      <alignment vertical="center"/>
    </xf>
    <xf numFmtId="0" fontId="6" fillId="68" borderId="34" xfId="956" applyFont="1" applyFill="1" applyBorder="1" applyAlignment="1">
      <alignment vertical="center"/>
    </xf>
    <xf numFmtId="0" fontId="6" fillId="68" borderId="47" xfId="956" applyFont="1" applyFill="1" applyBorder="1" applyAlignment="1">
      <alignment vertical="center"/>
    </xf>
    <xf numFmtId="0" fontId="6" fillId="68" borderId="0" xfId="956" applyFont="1" applyFill="1" applyAlignment="1">
      <alignment vertical="center"/>
    </xf>
    <xf numFmtId="0" fontId="6" fillId="68" borderId="48" xfId="956" applyFont="1" applyFill="1" applyBorder="1" applyAlignment="1">
      <alignment vertical="center"/>
    </xf>
    <xf numFmtId="0" fontId="6" fillId="68" borderId="21" xfId="956" applyFont="1" applyFill="1" applyBorder="1" applyAlignment="1">
      <alignment vertical="center"/>
    </xf>
    <xf numFmtId="0" fontId="6" fillId="68" borderId="56" xfId="957" applyFont="1" applyFill="1" applyBorder="1" applyAlignment="1">
      <alignment vertical="center"/>
    </xf>
    <xf numFmtId="0" fontId="13" fillId="62" borderId="58" xfId="0" applyFont="1" applyFill="1" applyBorder="1" applyAlignment="1">
      <alignment horizontal="left" vertical="top" wrapText="1"/>
    </xf>
    <xf numFmtId="0" fontId="13" fillId="62" borderId="59" xfId="0" applyFont="1" applyFill="1" applyBorder="1" applyAlignment="1">
      <alignment horizontal="left" vertical="top" wrapText="1"/>
    </xf>
    <xf numFmtId="0" fontId="0" fillId="70" borderId="60" xfId="0" applyFill="1" applyBorder="1" applyAlignment="1">
      <alignment horizontal="left" vertical="top"/>
    </xf>
    <xf numFmtId="186" fontId="96" fillId="69" borderId="17" xfId="0" applyNumberFormat="1" applyFont="1" applyFill="1" applyBorder="1" applyAlignment="1">
      <alignment horizontal="left" vertical="center"/>
    </xf>
    <xf numFmtId="186" fontId="96" fillId="69" borderId="39" xfId="0" applyNumberFormat="1" applyFont="1" applyFill="1" applyBorder="1" applyAlignment="1">
      <alignment horizontal="left" vertical="center" wrapText="1"/>
    </xf>
    <xf numFmtId="186" fontId="96" fillId="69" borderId="39" xfId="0" applyNumberFormat="1" applyFont="1" applyFill="1" applyBorder="1" applyAlignment="1">
      <alignment horizontal="left" vertical="center"/>
    </xf>
    <xf numFmtId="186" fontId="96" fillId="69" borderId="17" xfId="0" applyNumberFormat="1" applyFont="1" applyFill="1" applyBorder="1" applyAlignment="1">
      <alignment horizontal="left" vertical="center" wrapText="1"/>
    </xf>
    <xf numFmtId="0" fontId="8" fillId="0" borderId="0" xfId="946" applyFont="1" applyAlignment="1">
      <alignment vertical="top"/>
    </xf>
    <xf numFmtId="0" fontId="8" fillId="0" borderId="0" xfId="946" applyFont="1" applyAlignment="1">
      <alignment horizontal="left" vertical="top"/>
    </xf>
    <xf numFmtId="0" fontId="97" fillId="74" borderId="58" xfId="0" applyFont="1" applyFill="1" applyBorder="1" applyAlignment="1">
      <alignment vertical="center" wrapText="1"/>
    </xf>
    <xf numFmtId="0" fontId="97" fillId="74" borderId="57" xfId="0" applyFont="1" applyFill="1" applyBorder="1" applyAlignment="1">
      <alignment vertical="center" wrapText="1"/>
    </xf>
    <xf numFmtId="0" fontId="98" fillId="75" borderId="61" xfId="0" applyFont="1" applyFill="1" applyBorder="1" applyAlignment="1">
      <alignment horizontal="right" vertical="center" wrapText="1"/>
    </xf>
    <xf numFmtId="0" fontId="98" fillId="75" borderId="50" xfId="0" applyFont="1" applyFill="1" applyBorder="1" applyAlignment="1">
      <alignment vertical="center" wrapText="1"/>
    </xf>
    <xf numFmtId="14" fontId="98" fillId="75" borderId="50" xfId="0" applyNumberFormat="1" applyFont="1" applyFill="1" applyBorder="1" applyAlignment="1">
      <alignment vertical="center" wrapText="1"/>
    </xf>
    <xf numFmtId="0" fontId="99" fillId="75" borderId="50" xfId="0" applyFont="1" applyFill="1" applyBorder="1" applyAlignment="1">
      <alignment vertical="center" wrapText="1"/>
    </xf>
    <xf numFmtId="0" fontId="98" fillId="75" borderId="50" xfId="0" applyFont="1" applyFill="1" applyBorder="1" applyAlignment="1">
      <alignment horizontal="right" vertical="center" wrapText="1"/>
    </xf>
    <xf numFmtId="0" fontId="98" fillId="76" borderId="61" xfId="0" applyFont="1" applyFill="1" applyBorder="1" applyAlignment="1">
      <alignment horizontal="right" vertical="center" wrapText="1"/>
    </xf>
    <xf numFmtId="0" fontId="98" fillId="76" borderId="50" xfId="0" applyFont="1" applyFill="1" applyBorder="1" applyAlignment="1">
      <alignment vertical="center" wrapText="1"/>
    </xf>
    <xf numFmtId="14" fontId="98" fillId="76" borderId="50" xfId="0" applyNumberFormat="1" applyFont="1" applyFill="1" applyBorder="1" applyAlignment="1">
      <alignment vertical="center" wrapText="1"/>
    </xf>
    <xf numFmtId="0" fontId="99" fillId="76" borderId="50" xfId="0" applyFont="1" applyFill="1" applyBorder="1" applyAlignment="1">
      <alignment vertical="center" wrapText="1"/>
    </xf>
    <xf numFmtId="0" fontId="98" fillId="76" borderId="50" xfId="0" applyFont="1" applyFill="1" applyBorder="1" applyAlignment="1">
      <alignment horizontal="right" vertical="center" wrapText="1"/>
    </xf>
    <xf numFmtId="0" fontId="100" fillId="0" borderId="61" xfId="0" applyFont="1" applyBorder="1" applyAlignment="1">
      <alignment horizontal="right" vertical="center" wrapText="1"/>
    </xf>
    <xf numFmtId="0" fontId="100" fillId="0" borderId="50" xfId="0" applyFont="1" applyBorder="1" applyAlignment="1">
      <alignment vertical="center" wrapText="1"/>
    </xf>
    <xf numFmtId="14" fontId="100" fillId="0" borderId="50" xfId="0" applyNumberFormat="1" applyFont="1" applyBorder="1" applyAlignment="1">
      <alignment vertical="center" wrapText="1"/>
    </xf>
    <xf numFmtId="0" fontId="100" fillId="0" borderId="50" xfId="0" applyFont="1" applyBorder="1" applyAlignment="1">
      <alignment horizontal="right" vertical="center" wrapText="1"/>
    </xf>
    <xf numFmtId="0" fontId="98" fillId="77" borderId="61" xfId="0" applyFont="1" applyFill="1" applyBorder="1" applyAlignment="1">
      <alignment horizontal="right" vertical="center" wrapText="1"/>
    </xf>
    <xf numFmtId="0" fontId="98" fillId="77" borderId="50" xfId="0" applyFont="1" applyFill="1" applyBorder="1" applyAlignment="1">
      <alignment vertical="center" wrapText="1"/>
    </xf>
    <xf numFmtId="14" fontId="98" fillId="77" borderId="50" xfId="0" applyNumberFormat="1" applyFont="1" applyFill="1" applyBorder="1" applyAlignment="1">
      <alignment vertical="center" wrapText="1"/>
    </xf>
    <xf numFmtId="0" fontId="99" fillId="77" borderId="50" xfId="0" applyFont="1" applyFill="1" applyBorder="1" applyAlignment="1">
      <alignment horizontal="right" vertical="center" wrapText="1"/>
    </xf>
    <xf numFmtId="0" fontId="99" fillId="77" borderId="50" xfId="0" applyFont="1" applyFill="1" applyBorder="1" applyAlignment="1">
      <alignment vertical="center" wrapText="1"/>
    </xf>
    <xf numFmtId="0" fontId="98" fillId="77" borderId="50" xfId="0" applyFont="1" applyFill="1" applyBorder="1" applyAlignment="1">
      <alignment horizontal="right" vertical="center" wrapText="1"/>
    </xf>
    <xf numFmtId="0" fontId="100" fillId="0" borderId="49" xfId="0" applyFont="1" applyBorder="1" applyAlignment="1">
      <alignment horizontal="right" vertical="center" wrapText="1"/>
    </xf>
    <xf numFmtId="0" fontId="102" fillId="74" borderId="17" xfId="0" applyFont="1" applyFill="1" applyBorder="1" applyAlignment="1">
      <alignment vertical="center" wrapText="1"/>
    </xf>
    <xf numFmtId="0" fontId="103" fillId="74" borderId="17" xfId="0" applyFont="1" applyFill="1" applyBorder="1" applyAlignment="1">
      <alignment vertical="center" wrapText="1"/>
    </xf>
    <xf numFmtId="0" fontId="98" fillId="75" borderId="17" xfId="0" applyFont="1" applyFill="1" applyBorder="1" applyAlignment="1">
      <alignment horizontal="right" vertical="center" wrapText="1"/>
    </xf>
    <xf numFmtId="0" fontId="98" fillId="75" borderId="17" xfId="0" applyFont="1" applyFill="1" applyBorder="1" applyAlignment="1">
      <alignment vertical="center" wrapText="1"/>
    </xf>
    <xf numFmtId="14" fontId="98" fillId="75" borderId="17" xfId="0" applyNumberFormat="1" applyFont="1" applyFill="1" applyBorder="1" applyAlignment="1">
      <alignment vertical="center" wrapText="1"/>
    </xf>
    <xf numFmtId="0" fontId="99" fillId="75" borderId="17" xfId="0" applyFont="1" applyFill="1" applyBorder="1" applyAlignment="1">
      <alignment vertical="center" wrapText="1"/>
    </xf>
    <xf numFmtId="0" fontId="98" fillId="76" borderId="17" xfId="0" applyFont="1" applyFill="1" applyBorder="1" applyAlignment="1">
      <alignment horizontal="right" vertical="center" wrapText="1"/>
    </xf>
    <xf numFmtId="0" fontId="98" fillId="76" borderId="17" xfId="0" applyFont="1" applyFill="1" applyBorder="1" applyAlignment="1">
      <alignment vertical="center" wrapText="1"/>
    </xf>
    <xf numFmtId="14" fontId="98" fillId="76" borderId="17" xfId="0" applyNumberFormat="1" applyFont="1" applyFill="1" applyBorder="1" applyAlignment="1">
      <alignment vertical="center" wrapText="1"/>
    </xf>
    <xf numFmtId="0" fontId="99" fillId="76" borderId="17" xfId="0" applyFont="1" applyFill="1" applyBorder="1" applyAlignment="1">
      <alignment vertical="center" wrapText="1"/>
    </xf>
    <xf numFmtId="0" fontId="100" fillId="0" borderId="17" xfId="0" applyFont="1" applyBorder="1" applyAlignment="1">
      <alignment horizontal="right" vertical="center" wrapText="1"/>
    </xf>
    <xf numFmtId="0" fontId="100" fillId="0" borderId="17" xfId="0" applyFont="1" applyBorder="1" applyAlignment="1">
      <alignment vertical="center" wrapText="1"/>
    </xf>
    <xf numFmtId="14" fontId="100" fillId="0" borderId="17" xfId="0" applyNumberFormat="1" applyFont="1" applyBorder="1" applyAlignment="1">
      <alignment vertical="center" wrapText="1"/>
    </xf>
    <xf numFmtId="0" fontId="98" fillId="77" borderId="17" xfId="0" applyFont="1" applyFill="1" applyBorder="1" applyAlignment="1">
      <alignment horizontal="right" vertical="center" wrapText="1"/>
    </xf>
    <xf numFmtId="0" fontId="98" fillId="77" borderId="17" xfId="0" applyFont="1" applyFill="1" applyBorder="1" applyAlignment="1">
      <alignment vertical="center" wrapText="1"/>
    </xf>
    <xf numFmtId="14" fontId="98" fillId="77" borderId="17" xfId="0" applyNumberFormat="1" applyFont="1" applyFill="1" applyBorder="1" applyAlignment="1">
      <alignment vertical="center" wrapText="1"/>
    </xf>
    <xf numFmtId="0" fontId="99" fillId="77" borderId="17" xfId="0" applyFont="1" applyFill="1" applyBorder="1" applyAlignment="1">
      <alignment horizontal="right" vertical="center" wrapText="1"/>
    </xf>
    <xf numFmtId="0" fontId="99" fillId="77" borderId="17" xfId="0" applyFont="1" applyFill="1" applyBorder="1" applyAlignment="1">
      <alignment vertical="center" wrapText="1"/>
    </xf>
    <xf numFmtId="0" fontId="7" fillId="66" borderId="62" xfId="955" applyFont="1" applyFill="1" applyBorder="1" applyAlignment="1">
      <alignment horizontal="center" vertical="center"/>
    </xf>
    <xf numFmtId="0" fontId="7" fillId="67" borderId="62" xfId="955" applyFont="1" applyFill="1" applyBorder="1" applyAlignment="1">
      <alignment horizontal="center" vertical="center"/>
    </xf>
    <xf numFmtId="0" fontId="7" fillId="67" borderId="63" xfId="955" applyFont="1" applyFill="1" applyBorder="1" applyAlignment="1">
      <alignment horizontal="center" vertical="center"/>
    </xf>
    <xf numFmtId="0" fontId="0" fillId="79" borderId="0" xfId="0" applyFill="1"/>
    <xf numFmtId="14" fontId="16" fillId="65" borderId="17" xfId="0" applyNumberFormat="1" applyFont="1" applyFill="1" applyBorder="1" applyAlignment="1">
      <alignment horizontal="left" vertical="center" wrapText="1"/>
    </xf>
    <xf numFmtId="0" fontId="5" fillId="0" borderId="0" xfId="946" applyAlignment="1">
      <alignment horizontal="center" vertical="top" wrapText="1"/>
    </xf>
    <xf numFmtId="0" fontId="97" fillId="80" borderId="17" xfId="0" applyFont="1" applyFill="1" applyBorder="1" applyAlignment="1">
      <alignment horizontal="right" vertical="center" wrapText="1"/>
    </xf>
    <xf numFmtId="0" fontId="97" fillId="80" borderId="17" xfId="0" applyFont="1" applyFill="1" applyBorder="1" applyAlignment="1">
      <alignment vertical="center" wrapText="1"/>
    </xf>
    <xf numFmtId="14" fontId="97" fillId="80" borderId="17" xfId="0" applyNumberFormat="1" applyFont="1" applyFill="1" applyBorder="1" applyAlignment="1">
      <alignment vertical="center" wrapText="1"/>
    </xf>
    <xf numFmtId="0" fontId="100" fillId="80" borderId="17" xfId="0" applyFont="1" applyFill="1" applyBorder="1" applyAlignment="1">
      <alignment horizontal="right" vertical="center" wrapText="1"/>
    </xf>
    <xf numFmtId="0" fontId="99" fillId="81" borderId="17" xfId="0" applyFont="1" applyFill="1" applyBorder="1" applyAlignment="1">
      <alignment vertical="center" wrapText="1"/>
    </xf>
    <xf numFmtId="2" fontId="100" fillId="0" borderId="17" xfId="0" applyNumberFormat="1" applyFont="1" applyBorder="1" applyAlignment="1">
      <alignment horizontal="right" vertical="center" wrapText="1"/>
    </xf>
    <xf numFmtId="2" fontId="5" fillId="0" borderId="0" xfId="946" applyNumberFormat="1"/>
    <xf numFmtId="2" fontId="5" fillId="0" borderId="0" xfId="957" applyNumberFormat="1"/>
    <xf numFmtId="2" fontId="0" fillId="0" borderId="0" xfId="0" applyNumberFormat="1"/>
    <xf numFmtId="2" fontId="103" fillId="74" borderId="17" xfId="0" applyNumberFormat="1" applyFont="1" applyFill="1" applyBorder="1" applyAlignment="1">
      <alignment vertical="center" wrapText="1"/>
    </xf>
    <xf numFmtId="2" fontId="98" fillId="81" borderId="17" xfId="0" applyNumberFormat="1" applyFont="1" applyFill="1" applyBorder="1" applyAlignment="1">
      <alignment horizontal="right" vertical="center" wrapText="1"/>
    </xf>
    <xf numFmtId="2" fontId="98" fillId="76" borderId="17" xfId="0" applyNumberFormat="1" applyFont="1" applyFill="1" applyBorder="1" applyAlignment="1">
      <alignment horizontal="right" vertical="center" wrapText="1"/>
    </xf>
    <xf numFmtId="2" fontId="98" fillId="77" borderId="17" xfId="0" applyNumberFormat="1" applyFont="1" applyFill="1" applyBorder="1" applyAlignment="1">
      <alignment horizontal="right" vertical="center" wrapText="1"/>
    </xf>
    <xf numFmtId="2" fontId="97" fillId="80" borderId="17" xfId="0" applyNumberFormat="1" applyFont="1" applyFill="1" applyBorder="1" applyAlignment="1">
      <alignment horizontal="right" vertical="center" wrapText="1"/>
    </xf>
    <xf numFmtId="0" fontId="16" fillId="80" borderId="0" xfId="0" applyFont="1" applyFill="1" applyAlignment="1">
      <alignment horizontal="center" vertical="center"/>
    </xf>
    <xf numFmtId="0" fontId="7" fillId="80" borderId="0" xfId="0" applyFont="1" applyFill="1" applyAlignment="1">
      <alignment horizontal="center" vertical="center" wrapText="1"/>
    </xf>
    <xf numFmtId="0" fontId="7" fillId="80" borderId="0" xfId="0" applyFont="1" applyFill="1" applyAlignment="1">
      <alignment horizontal="center" vertical="center"/>
    </xf>
    <xf numFmtId="190" fontId="7" fillId="80" borderId="0" xfId="0" applyNumberFormat="1" applyFont="1" applyFill="1" applyAlignment="1">
      <alignment horizontal="center" vertical="center"/>
    </xf>
    <xf numFmtId="14" fontId="7" fillId="80" borderId="0" xfId="0" applyNumberFormat="1" applyFont="1" applyFill="1" applyAlignment="1">
      <alignment horizontal="center" vertical="center"/>
    </xf>
    <xf numFmtId="0" fontId="5" fillId="80" borderId="0" xfId="946" applyFill="1"/>
    <xf numFmtId="0" fontId="5" fillId="80" borderId="0" xfId="946" applyFill="1" applyAlignment="1">
      <alignment horizontal="center"/>
    </xf>
    <xf numFmtId="0" fontId="0" fillId="80" borderId="0" xfId="0" applyFill="1" applyAlignment="1">
      <alignment horizontal="center" vertical="center" wrapText="1"/>
    </xf>
    <xf numFmtId="0" fontId="5" fillId="80" borderId="0" xfId="0" applyFont="1" applyFill="1" applyAlignment="1">
      <alignment horizontal="justify" vertical="center" wrapText="1"/>
    </xf>
    <xf numFmtId="0" fontId="5" fillId="80" borderId="0" xfId="0" applyFont="1" applyFill="1" applyAlignment="1">
      <alignment horizontal="center" vertical="center" wrapText="1"/>
    </xf>
    <xf numFmtId="14" fontId="0" fillId="80" borderId="0" xfId="0" applyNumberFormat="1" applyFill="1" applyAlignment="1">
      <alignment horizontal="center" vertical="center" wrapText="1"/>
    </xf>
    <xf numFmtId="0" fontId="4" fillId="80" borderId="0" xfId="0" applyFont="1" applyFill="1" applyAlignment="1">
      <alignment horizontal="justify" vertical="center" wrapText="1"/>
    </xf>
    <xf numFmtId="14" fontId="5" fillId="80" borderId="0" xfId="0" applyNumberFormat="1" applyFont="1" applyFill="1" applyAlignment="1">
      <alignment horizontal="center" vertical="center" wrapText="1"/>
    </xf>
    <xf numFmtId="0" fontId="4" fillId="80" borderId="0" xfId="0" applyFont="1" applyFill="1" applyAlignment="1">
      <alignment horizontal="center" vertical="center" wrapText="1"/>
    </xf>
    <xf numFmtId="186" fontId="10" fillId="80" borderId="0" xfId="0" applyNumberFormat="1" applyFont="1" applyFill="1" applyAlignment="1">
      <alignment horizontal="center" vertical="center"/>
    </xf>
    <xf numFmtId="0" fontId="5" fillId="80" borderId="0" xfId="0" applyFont="1" applyFill="1" applyAlignment="1">
      <alignment vertical="center" wrapText="1"/>
    </xf>
    <xf numFmtId="14" fontId="4" fillId="80" borderId="0" xfId="0" applyNumberFormat="1" applyFont="1" applyFill="1" applyAlignment="1">
      <alignment horizontal="center" vertical="center" wrapText="1"/>
    </xf>
    <xf numFmtId="0" fontId="21" fillId="72" borderId="2" xfId="956" applyFont="1" applyFill="1" applyBorder="1" applyAlignment="1">
      <alignment horizontal="center" vertical="center"/>
    </xf>
    <xf numFmtId="0" fontId="16" fillId="73" borderId="2" xfId="956" applyFont="1" applyFill="1" applyBorder="1" applyAlignment="1">
      <alignment vertical="center" wrapText="1"/>
    </xf>
    <xf numFmtId="0" fontId="16" fillId="73" borderId="2" xfId="956" applyFont="1" applyFill="1" applyBorder="1" applyAlignment="1">
      <alignment vertical="center"/>
    </xf>
    <xf numFmtId="0" fontId="6" fillId="73" borderId="51" xfId="956" applyFont="1" applyFill="1" applyBorder="1" applyAlignment="1">
      <alignment horizontal="center" vertical="center"/>
    </xf>
    <xf numFmtId="0" fontId="6" fillId="73" borderId="25" xfId="956" applyFont="1" applyFill="1" applyBorder="1" applyAlignment="1">
      <alignment horizontal="center" vertical="center"/>
    </xf>
    <xf numFmtId="0" fontId="6" fillId="73" borderId="52" xfId="956" applyFont="1" applyFill="1" applyBorder="1" applyAlignment="1">
      <alignment horizontal="center" vertical="center"/>
    </xf>
    <xf numFmtId="0" fontId="21" fillId="72" borderId="2" xfId="956" applyFont="1" applyFill="1" applyBorder="1" applyAlignment="1">
      <alignment horizontal="center" vertical="center" wrapText="1"/>
    </xf>
    <xf numFmtId="0" fontId="7" fillId="73" borderId="2" xfId="956" applyFont="1" applyFill="1" applyBorder="1" applyAlignment="1">
      <alignment vertical="center" wrapText="1"/>
    </xf>
    <xf numFmtId="0" fontId="7" fillId="73" borderId="2" xfId="956" applyFont="1" applyFill="1" applyBorder="1" applyAlignment="1">
      <alignment vertical="center"/>
    </xf>
    <xf numFmtId="0" fontId="4" fillId="68" borderId="46" xfId="956" applyFont="1" applyFill="1" applyBorder="1" applyAlignment="1">
      <alignment horizontal="right" vertical="center"/>
    </xf>
    <xf numFmtId="0" fontId="4" fillId="68" borderId="34" xfId="956" applyFont="1" applyFill="1" applyBorder="1" applyAlignment="1">
      <alignment horizontal="right" vertical="center"/>
    </xf>
    <xf numFmtId="0" fontId="4" fillId="68" borderId="45" xfId="956" applyFont="1" applyFill="1" applyBorder="1" applyAlignment="1">
      <alignment horizontal="right" vertical="center"/>
    </xf>
    <xf numFmtId="14" fontId="4" fillId="71" borderId="47" xfId="292" applyFont="1" applyFill="1" applyBorder="1" applyAlignment="1" applyProtection="1">
      <alignment horizontal="right"/>
    </xf>
    <xf numFmtId="14" fontId="5" fillId="71" borderId="0" xfId="292" applyFill="1" applyBorder="1" applyAlignment="1" applyProtection="1">
      <alignment horizontal="right"/>
    </xf>
    <xf numFmtId="14" fontId="5" fillId="71" borderId="49" xfId="292" applyFill="1" applyBorder="1" applyAlignment="1" applyProtection="1">
      <alignment horizontal="right"/>
    </xf>
    <xf numFmtId="14" fontId="4" fillId="71" borderId="48" xfId="292" applyFont="1" applyFill="1" applyBorder="1" applyAlignment="1" applyProtection="1">
      <alignment horizontal="right"/>
    </xf>
    <xf numFmtId="14" fontId="5" fillId="71" borderId="21" xfId="292" applyFill="1" applyBorder="1" applyAlignment="1" applyProtection="1">
      <alignment horizontal="right"/>
    </xf>
    <xf numFmtId="14" fontId="5" fillId="71" borderId="50" xfId="292" applyFill="1" applyBorder="1" applyAlignment="1" applyProtection="1">
      <alignment horizontal="right"/>
    </xf>
    <xf numFmtId="0" fontId="8" fillId="73" borderId="2" xfId="956" applyFont="1" applyFill="1" applyBorder="1" applyAlignment="1">
      <alignment horizontal="center" vertical="center"/>
    </xf>
    <xf numFmtId="0" fontId="4" fillId="68" borderId="46" xfId="958" applyFont="1" applyFill="1" applyBorder="1" applyAlignment="1">
      <alignment horizontal="right" vertical="center"/>
    </xf>
    <xf numFmtId="0" fontId="4" fillId="68" borderId="45" xfId="958" applyFont="1" applyFill="1" applyBorder="1" applyAlignment="1">
      <alignment horizontal="right" vertical="center"/>
    </xf>
    <xf numFmtId="14" fontId="4" fillId="68" borderId="47" xfId="958" applyNumberFormat="1" applyFont="1" applyFill="1" applyBorder="1" applyAlignment="1">
      <alignment horizontal="right" vertical="center"/>
    </xf>
    <xf numFmtId="14" fontId="4" fillId="68" borderId="49" xfId="958" applyNumberFormat="1" applyFont="1" applyFill="1" applyBorder="1" applyAlignment="1">
      <alignment horizontal="right" vertical="center"/>
    </xf>
    <xf numFmtId="0" fontId="4" fillId="68" borderId="48" xfId="958" applyFont="1" applyFill="1" applyBorder="1" applyAlignment="1">
      <alignment horizontal="right" vertical="center"/>
    </xf>
    <xf numFmtId="0" fontId="4" fillId="68" borderId="50" xfId="958" applyFont="1" applyFill="1" applyBorder="1" applyAlignment="1">
      <alignment horizontal="right" vertical="center"/>
    </xf>
    <xf numFmtId="0" fontId="95" fillId="69" borderId="0" xfId="0" applyFont="1" applyFill="1" applyAlignment="1">
      <alignment horizontal="left" vertical="top" wrapText="1"/>
    </xf>
    <xf numFmtId="0" fontId="96" fillId="69" borderId="39" xfId="0" applyFont="1" applyFill="1" applyBorder="1" applyAlignment="1">
      <alignment horizontal="left" vertical="top" wrapText="1"/>
    </xf>
    <xf numFmtId="0" fontId="19" fillId="69" borderId="41" xfId="0" applyFont="1" applyFill="1" applyBorder="1" applyAlignment="1">
      <alignment horizontal="left" vertical="top" wrapText="1"/>
    </xf>
    <xf numFmtId="0" fontId="96" fillId="69" borderId="41" xfId="0" applyFont="1" applyFill="1" applyBorder="1" applyAlignment="1">
      <alignment horizontal="left" vertical="top" wrapText="1"/>
    </xf>
    <xf numFmtId="0" fontId="4" fillId="68" borderId="46" xfId="957" applyFont="1" applyFill="1" applyBorder="1" applyAlignment="1">
      <alignment horizontal="right" vertical="center"/>
    </xf>
    <xf numFmtId="0" fontId="4" fillId="68" borderId="34" xfId="957" applyFont="1" applyFill="1" applyBorder="1" applyAlignment="1">
      <alignment horizontal="right" vertical="center"/>
    </xf>
    <xf numFmtId="0" fontId="4" fillId="68" borderId="45" xfId="957" applyFont="1" applyFill="1" applyBorder="1" applyAlignment="1">
      <alignment horizontal="right" vertical="center"/>
    </xf>
    <xf numFmtId="14" fontId="4" fillId="68" borderId="47" xfId="957" applyNumberFormat="1" applyFont="1" applyFill="1" applyBorder="1" applyAlignment="1">
      <alignment horizontal="right" vertical="center"/>
    </xf>
    <xf numFmtId="0" fontId="4" fillId="68" borderId="0" xfId="957" applyFont="1" applyFill="1" applyAlignment="1">
      <alignment horizontal="right" vertical="center"/>
    </xf>
    <xf numFmtId="0" fontId="4" fillId="68" borderId="49" xfId="957" applyFont="1" applyFill="1" applyBorder="1" applyAlignment="1">
      <alignment horizontal="right" vertical="center"/>
    </xf>
    <xf numFmtId="14" fontId="4" fillId="68" borderId="48" xfId="957" applyNumberFormat="1" applyFont="1" applyFill="1" applyBorder="1" applyAlignment="1">
      <alignment horizontal="right" vertical="center"/>
    </xf>
    <xf numFmtId="0" fontId="4" fillId="68" borderId="21" xfId="957" applyFont="1" applyFill="1" applyBorder="1" applyAlignment="1">
      <alignment horizontal="right" vertical="center"/>
    </xf>
    <xf numFmtId="0" fontId="4" fillId="68" borderId="50" xfId="957" applyFont="1" applyFill="1" applyBorder="1" applyAlignment="1">
      <alignment horizontal="right" vertical="center"/>
    </xf>
    <xf numFmtId="0" fontId="4" fillId="68" borderId="56" xfId="957" applyFont="1" applyFill="1" applyBorder="1" applyAlignment="1">
      <alignment horizontal="right" vertical="center"/>
    </xf>
    <xf numFmtId="14" fontId="4" fillId="68" borderId="0" xfId="957" applyNumberFormat="1" applyFont="1" applyFill="1" applyAlignment="1">
      <alignment horizontal="right" vertical="center"/>
    </xf>
    <xf numFmtId="14" fontId="4" fillId="68" borderId="21" xfId="957" applyNumberFormat="1" applyFont="1" applyFill="1" applyBorder="1" applyAlignment="1">
      <alignment horizontal="right" vertical="center"/>
    </xf>
    <xf numFmtId="0" fontId="5" fillId="0" borderId="0" xfId="946" applyAlignment="1">
      <alignment horizontal="center" vertical="top" wrapText="1"/>
    </xf>
    <xf numFmtId="0" fontId="0" fillId="0" borderId="0" xfId="0"/>
    <xf numFmtId="0" fontId="4" fillId="68" borderId="55" xfId="957" applyFont="1" applyFill="1" applyBorder="1" applyAlignment="1">
      <alignment horizontal="right" vertical="center"/>
    </xf>
    <xf numFmtId="0" fontId="4" fillId="68" borderId="57" xfId="957" applyFont="1" applyFill="1" applyBorder="1" applyAlignment="1">
      <alignment horizontal="right" vertical="center"/>
    </xf>
    <xf numFmtId="0" fontId="100" fillId="0" borderId="58" xfId="0" applyFont="1" applyBorder="1" applyAlignment="1">
      <alignment horizontal="right" vertical="center" wrapText="1"/>
    </xf>
    <xf numFmtId="0" fontId="100" fillId="0" borderId="61" xfId="0" applyFont="1" applyBorder="1" applyAlignment="1">
      <alignment horizontal="right" vertical="center" wrapText="1"/>
    </xf>
    <xf numFmtId="0" fontId="100" fillId="0" borderId="58" xfId="0" applyFont="1" applyBorder="1" applyAlignment="1">
      <alignment vertical="center" wrapText="1"/>
    </xf>
    <xf numFmtId="0" fontId="100" fillId="0" borderId="61" xfId="0" applyFont="1" applyBorder="1" applyAlignment="1">
      <alignment vertical="center" wrapText="1"/>
    </xf>
    <xf numFmtId="14" fontId="100" fillId="0" borderId="58" xfId="0" applyNumberFormat="1" applyFont="1" applyBorder="1" applyAlignment="1">
      <alignment vertical="center" wrapText="1"/>
    </xf>
    <xf numFmtId="14" fontId="100" fillId="0" borderId="61" xfId="0" applyNumberFormat="1" applyFont="1" applyBorder="1" applyAlignment="1">
      <alignment vertical="center" wrapText="1"/>
    </xf>
    <xf numFmtId="0" fontId="6" fillId="68" borderId="55" xfId="958" applyFont="1" applyFill="1" applyBorder="1" applyAlignment="1">
      <alignment horizontal="center" vertical="center"/>
    </xf>
    <xf numFmtId="0" fontId="17" fillId="0" borderId="56" xfId="0" applyFont="1" applyBorder="1" applyAlignment="1">
      <alignment horizontal="center" vertical="center"/>
    </xf>
    <xf numFmtId="0" fontId="17" fillId="0" borderId="57" xfId="0" applyFont="1" applyBorder="1" applyAlignment="1">
      <alignment horizontal="center" vertical="center"/>
    </xf>
    <xf numFmtId="0" fontId="17" fillId="0" borderId="47" xfId="0" applyFont="1" applyBorder="1" applyAlignment="1">
      <alignment horizontal="center" vertical="center"/>
    </xf>
    <xf numFmtId="0" fontId="17" fillId="0" borderId="0" xfId="0" applyFont="1" applyAlignment="1">
      <alignment horizontal="center" vertical="center"/>
    </xf>
    <xf numFmtId="0" fontId="17" fillId="0" borderId="49" xfId="0" applyFont="1" applyBorder="1" applyAlignment="1">
      <alignment horizontal="center" vertical="center"/>
    </xf>
    <xf numFmtId="0" fontId="17" fillId="0" borderId="48" xfId="0" applyFont="1" applyBorder="1" applyAlignment="1">
      <alignment horizontal="center" vertical="center"/>
    </xf>
    <xf numFmtId="0" fontId="17" fillId="0" borderId="21" xfId="0" applyFont="1" applyBorder="1" applyAlignment="1">
      <alignment horizontal="center" vertical="center"/>
    </xf>
    <xf numFmtId="0" fontId="17" fillId="0" borderId="50" xfId="0" applyFont="1" applyBorder="1" applyAlignment="1">
      <alignment horizontal="center" vertical="center"/>
    </xf>
    <xf numFmtId="0" fontId="16" fillId="65" borderId="17" xfId="0" applyFont="1" applyFill="1" applyBorder="1" applyAlignment="1">
      <alignment horizontal="left" vertical="center" wrapText="1"/>
    </xf>
    <xf numFmtId="0" fontId="7" fillId="80" borderId="0" xfId="0" applyFont="1" applyFill="1" applyAlignment="1">
      <alignment horizontal="center" vertical="center" wrapText="1"/>
    </xf>
    <xf numFmtId="0" fontId="18" fillId="62" borderId="46" xfId="0" applyFont="1" applyFill="1" applyBorder="1" applyAlignment="1">
      <alignment horizontal="center" vertical="center" wrapText="1"/>
    </xf>
    <xf numFmtId="0" fontId="18" fillId="62" borderId="34" xfId="0" applyFont="1" applyFill="1" applyBorder="1" applyAlignment="1">
      <alignment horizontal="center" vertical="center" wrapText="1"/>
    </xf>
    <xf numFmtId="0" fontId="18" fillId="62" borderId="45" xfId="0" applyFont="1" applyFill="1" applyBorder="1" applyAlignment="1">
      <alignment horizontal="center" vertical="center" wrapText="1"/>
    </xf>
    <xf numFmtId="0" fontId="6" fillId="68" borderId="56" xfId="958" applyFont="1" applyFill="1" applyBorder="1" applyAlignment="1">
      <alignment horizontal="center" vertical="center"/>
    </xf>
    <xf numFmtId="0" fontId="6" fillId="68" borderId="57" xfId="958" applyFont="1" applyFill="1" applyBorder="1" applyAlignment="1">
      <alignment horizontal="center" vertical="center"/>
    </xf>
    <xf numFmtId="0" fontId="6" fillId="68" borderId="47" xfId="958" applyFont="1" applyFill="1" applyBorder="1" applyAlignment="1">
      <alignment horizontal="center" vertical="center"/>
    </xf>
    <xf numFmtId="0" fontId="6" fillId="68" borderId="0" xfId="958" applyFont="1" applyFill="1" applyAlignment="1">
      <alignment horizontal="center" vertical="center"/>
    </xf>
    <xf numFmtId="0" fontId="6" fillId="68" borderId="49" xfId="958" applyFont="1" applyFill="1" applyBorder="1" applyAlignment="1">
      <alignment horizontal="center" vertical="center"/>
    </xf>
    <xf numFmtId="0" fontId="6" fillId="68" borderId="48" xfId="958" applyFont="1" applyFill="1" applyBorder="1" applyAlignment="1">
      <alignment horizontal="center" vertical="center"/>
    </xf>
    <xf numFmtId="0" fontId="6" fillId="68" borderId="21" xfId="958" applyFont="1" applyFill="1" applyBorder="1" applyAlignment="1">
      <alignment horizontal="center" vertical="center"/>
    </xf>
    <xf numFmtId="0" fontId="6" fillId="68" borderId="50" xfId="958" applyFont="1" applyFill="1" applyBorder="1" applyAlignment="1">
      <alignment horizontal="center" vertical="center"/>
    </xf>
    <xf numFmtId="0" fontId="6" fillId="68" borderId="55" xfId="957" applyFont="1" applyFill="1" applyBorder="1" applyAlignment="1">
      <alignment horizontal="center" vertical="center"/>
    </xf>
    <xf numFmtId="0" fontId="0" fillId="0" borderId="56" xfId="0" applyBorder="1" applyAlignment="1">
      <alignment horizontal="center" vertical="center"/>
    </xf>
    <xf numFmtId="0" fontId="0" fillId="0" borderId="47" xfId="0" applyBorder="1" applyAlignment="1">
      <alignment horizontal="center" vertical="center"/>
    </xf>
    <xf numFmtId="0" fontId="0" fillId="0" borderId="0" xfId="0" applyAlignment="1">
      <alignment horizontal="center" vertical="center"/>
    </xf>
    <xf numFmtId="0" fontId="0" fillId="0" borderId="48" xfId="0" applyBorder="1" applyAlignment="1">
      <alignment horizontal="center" vertical="center"/>
    </xf>
    <xf numFmtId="0" fontId="0" fillId="0" borderId="21" xfId="0" applyBorder="1" applyAlignment="1">
      <alignment horizontal="center" vertical="center"/>
    </xf>
    <xf numFmtId="0" fontId="4" fillId="68" borderId="53" xfId="946" applyFont="1" applyFill="1" applyBorder="1" applyAlignment="1">
      <alignment horizontal="right" wrapText="1"/>
    </xf>
    <xf numFmtId="0" fontId="4" fillId="68" borderId="34" xfId="946" applyFont="1" applyFill="1" applyBorder="1" applyAlignment="1">
      <alignment horizontal="right" wrapText="1"/>
    </xf>
    <xf numFmtId="0" fontId="4" fillId="68" borderId="45" xfId="946" applyFont="1" applyFill="1" applyBorder="1" applyAlignment="1">
      <alignment horizontal="right" wrapText="1"/>
    </xf>
    <xf numFmtId="14" fontId="4" fillId="68" borderId="18" xfId="946" applyNumberFormat="1" applyFont="1" applyFill="1" applyBorder="1" applyAlignment="1">
      <alignment horizontal="right" wrapText="1"/>
    </xf>
    <xf numFmtId="14" fontId="4" fillId="68" borderId="0" xfId="946" applyNumberFormat="1" applyFont="1" applyFill="1" applyAlignment="1">
      <alignment horizontal="right" wrapText="1"/>
    </xf>
    <xf numFmtId="14" fontId="4" fillId="68" borderId="49" xfId="946" applyNumberFormat="1" applyFont="1" applyFill="1" applyBorder="1" applyAlignment="1">
      <alignment horizontal="right" wrapText="1"/>
    </xf>
    <xf numFmtId="0" fontId="4" fillId="68" borderId="54" xfId="946" applyFont="1" applyFill="1" applyBorder="1" applyAlignment="1">
      <alignment horizontal="right" wrapText="1"/>
    </xf>
    <xf numFmtId="0" fontId="4" fillId="68" borderId="21" xfId="946" applyFont="1" applyFill="1" applyBorder="1" applyAlignment="1">
      <alignment horizontal="right" wrapText="1"/>
    </xf>
    <xf numFmtId="0" fontId="4" fillId="68" borderId="50" xfId="946" applyFont="1" applyFill="1" applyBorder="1" applyAlignment="1">
      <alignment horizontal="right" wrapText="1"/>
    </xf>
    <xf numFmtId="0" fontId="8" fillId="71" borderId="46" xfId="946" applyFont="1" applyFill="1" applyBorder="1" applyAlignment="1">
      <alignment horizontal="center" vertical="center"/>
    </xf>
    <xf numFmtId="0" fontId="8" fillId="71" borderId="34" xfId="946" applyFont="1" applyFill="1" applyBorder="1" applyAlignment="1">
      <alignment horizontal="center" vertical="center"/>
    </xf>
    <xf numFmtId="0" fontId="8" fillId="71" borderId="47" xfId="946" applyFont="1" applyFill="1" applyBorder="1" applyAlignment="1">
      <alignment horizontal="center" vertical="center"/>
    </xf>
    <xf numFmtId="0" fontId="8" fillId="71" borderId="0" xfId="946" applyFont="1" applyFill="1" applyAlignment="1">
      <alignment horizontal="center" vertical="center"/>
    </xf>
    <xf numFmtId="0" fontId="8" fillId="71" borderId="48" xfId="946" applyFont="1" applyFill="1" applyBorder="1" applyAlignment="1">
      <alignment horizontal="center" vertical="center"/>
    </xf>
    <xf numFmtId="0" fontId="8" fillId="71" borderId="21" xfId="946" applyFont="1" applyFill="1" applyBorder="1" applyAlignment="1">
      <alignment horizontal="center" vertical="center"/>
    </xf>
    <xf numFmtId="0" fontId="6" fillId="68" borderId="56" xfId="957" applyFont="1" applyFill="1" applyBorder="1" applyAlignment="1">
      <alignment horizontal="center" vertical="center"/>
    </xf>
    <xf numFmtId="0" fontId="0" fillId="0" borderId="57" xfId="0" applyBorder="1" applyAlignment="1">
      <alignment horizontal="center" vertical="center"/>
    </xf>
    <xf numFmtId="0" fontId="0" fillId="0" borderId="49" xfId="0" applyBorder="1" applyAlignment="1">
      <alignment horizontal="center" vertical="center"/>
    </xf>
    <xf numFmtId="0" fontId="0" fillId="0" borderId="50" xfId="0" applyBorder="1" applyAlignment="1">
      <alignment horizontal="center" vertical="center"/>
    </xf>
    <xf numFmtId="0" fontId="101" fillId="78" borderId="39" xfId="0" applyFont="1" applyFill="1" applyBorder="1" applyAlignment="1">
      <alignment horizontal="center"/>
    </xf>
    <xf numFmtId="0" fontId="101" fillId="78" borderId="10" xfId="0" applyFont="1" applyFill="1" applyBorder="1" applyAlignment="1">
      <alignment horizontal="center"/>
    </xf>
    <xf numFmtId="0" fontId="101" fillId="78" borderId="41" xfId="0" applyFont="1" applyFill="1" applyBorder="1" applyAlignment="1">
      <alignment horizontal="center"/>
    </xf>
    <xf numFmtId="0" fontId="100" fillId="0" borderId="17" xfId="0" applyFont="1" applyBorder="1" applyAlignment="1">
      <alignment horizontal="right" vertical="center" wrapText="1"/>
    </xf>
    <xf numFmtId="0" fontId="100" fillId="0" borderId="17" xfId="0" applyFont="1" applyBorder="1" applyAlignment="1">
      <alignment vertical="center" wrapText="1"/>
    </xf>
    <xf numFmtId="14" fontId="100" fillId="0" borderId="17" xfId="0" applyNumberFormat="1" applyFont="1" applyBorder="1" applyAlignment="1">
      <alignment vertical="center" wrapText="1"/>
    </xf>
    <xf numFmtId="0" fontId="10" fillId="69" borderId="0" xfId="0" applyFont="1" applyFill="1" applyAlignment="1">
      <alignment horizontal="left" vertical="top" wrapText="1"/>
    </xf>
    <xf numFmtId="0" fontId="0" fillId="69" borderId="0" xfId="0" applyFill="1" applyAlignment="1">
      <alignment horizontal="left" vertical="top" wrapText="1"/>
    </xf>
    <xf numFmtId="0" fontId="4" fillId="68" borderId="55" xfId="958" applyFont="1" applyFill="1" applyBorder="1" applyAlignment="1">
      <alignment horizontal="right" vertical="center"/>
    </xf>
    <xf numFmtId="0" fontId="4" fillId="68" borderId="57" xfId="958" applyFont="1" applyFill="1" applyBorder="1" applyAlignment="1">
      <alignment horizontal="right" vertical="center"/>
    </xf>
    <xf numFmtId="0" fontId="10" fillId="69" borderId="0" xfId="0" applyFont="1" applyFill="1" applyAlignment="1">
      <alignment horizontal="center" wrapText="1"/>
    </xf>
    <xf numFmtId="0" fontId="0" fillId="69" borderId="0" xfId="0" applyFill="1" applyAlignment="1">
      <alignment wrapText="1"/>
    </xf>
    <xf numFmtId="0" fontId="16" fillId="69" borderId="0" xfId="0" applyFont="1" applyFill="1" applyAlignment="1">
      <alignment horizontal="left" vertical="center" wrapText="1"/>
    </xf>
    <xf numFmtId="0" fontId="16" fillId="69" borderId="0" xfId="0" applyFont="1" applyFill="1" applyAlignment="1">
      <alignment horizontal="left" vertical="top" wrapText="1"/>
    </xf>
  </cellXfs>
  <cellStyles count="1319">
    <cellStyle name=" 1" xfId="1" xr:uid="{00000000-0005-0000-0000-000000000000}"/>
    <cellStyle name="_0 - Getting Started" xfId="2" xr:uid="{00000000-0005-0000-0000-000001000000}"/>
    <cellStyle name="_0 - Getting Started 2" xfId="3" xr:uid="{00000000-0005-0000-0000-000002000000}"/>
    <cellStyle name="_0 - Getting Started_5-Charges MO" xfId="4" xr:uid="{00000000-0005-0000-0000-000003000000}"/>
    <cellStyle name="_0 - Getting Started_83090147-DDQ-TAV-EN-001_OUTILS_PILOTAGE" xfId="5" xr:uid="{00000000-0005-0000-0000-000004000000}"/>
    <cellStyle name="_0 - Getting Started_83090147-DDQ-TAV-EN-001_OUTILS_PILOTAGE-1" xfId="6" xr:uid="{00000000-0005-0000-0000-000005000000}"/>
    <cellStyle name="_0 - Getting Started_dossierpilotage_dts_2012_10_19" xfId="7" xr:uid="{00000000-0005-0000-0000-000006000000}"/>
    <cellStyle name="_1 - Fiche descriptive" xfId="8" xr:uid="{00000000-0005-0000-0000-000007000000}"/>
    <cellStyle name="_1 - Fiche descriptive 2" xfId="9" xr:uid="{00000000-0005-0000-0000-000008000000}"/>
    <cellStyle name="_1 - Fiche descriptive_5-Charges MO" xfId="10" xr:uid="{00000000-0005-0000-0000-000009000000}"/>
    <cellStyle name="_1 - Fiche descriptive_83090147-DDQ-TAV-EN-001_OUTILS_PILOTAGE" xfId="11" xr:uid="{00000000-0005-0000-0000-00000A000000}"/>
    <cellStyle name="_1 - Fiche descriptive_83090147-DDQ-TAV-EN-001_OUTILS_PILOTAGE-1" xfId="12" xr:uid="{00000000-0005-0000-0000-00000B000000}"/>
    <cellStyle name="_1 - Fiche descriptive_dossierpilotage_dts_2012_10_19" xfId="13" xr:uid="{00000000-0005-0000-0000-00000C000000}"/>
    <cellStyle name="_10 -  Concep. à coût Ob TSA" xfId="14" xr:uid="{00000000-0005-0000-0000-00000D000000}"/>
    <cellStyle name="_10 -  Concep. à coût Ob TSA 2" xfId="15" xr:uid="{00000000-0005-0000-0000-00000E000000}"/>
    <cellStyle name="_10 -  Concep. à coût Ob TSA_5-Charges MO" xfId="16" xr:uid="{00000000-0005-0000-0000-00000F000000}"/>
    <cellStyle name="_10 -  Concep. à coût Ob TSA_83090147-DDQ-TAV-EN-001_OUTILS_PILOTAGE" xfId="17" xr:uid="{00000000-0005-0000-0000-000010000000}"/>
    <cellStyle name="_10 -  Concep. à coût Ob TSA_83090147-DDQ-TAV-EN-001_OUTILS_PILOTAGE-1" xfId="18" xr:uid="{00000000-0005-0000-0000-000011000000}"/>
    <cellStyle name="_10 -  Concep. à coût Ob TSA_dossierpilotage_dts_2012_10_19" xfId="19" xr:uid="{00000000-0005-0000-0000-000012000000}"/>
    <cellStyle name="_2 - Evènements clés" xfId="20" xr:uid="{00000000-0005-0000-0000-000013000000}"/>
    <cellStyle name="_2 - Evènements clés 2" xfId="21" xr:uid="{00000000-0005-0000-0000-000014000000}"/>
    <cellStyle name="_2 - Evènements clés_5-Charges MO" xfId="22" xr:uid="{00000000-0005-0000-0000-000015000000}"/>
    <cellStyle name="_2 - Evènements clés_83090147-DDQ-TAV-EN-001_OUTILS_PILOTAGE" xfId="23" xr:uid="{00000000-0005-0000-0000-000016000000}"/>
    <cellStyle name="_2 - Evènements clés_83090147-DDQ-TAV-EN-001_OUTILS_PILOTAGE-1" xfId="24" xr:uid="{00000000-0005-0000-0000-000017000000}"/>
    <cellStyle name="_2 - Evènements clés_dossierpilotage_dts_2012_10_19" xfId="25" xr:uid="{00000000-0005-0000-0000-000018000000}"/>
    <cellStyle name="_3 - Plaintes client &amp; pb Majeur" xfId="26" xr:uid="{00000000-0005-0000-0000-000019000000}"/>
    <cellStyle name="_3 - Plaintes client &amp; pb Majeur 2" xfId="27" xr:uid="{00000000-0005-0000-0000-00001A000000}"/>
    <cellStyle name="_3 - Plaintes client &amp; pb Majeur_5-Charges MO" xfId="28" xr:uid="{00000000-0005-0000-0000-00001B000000}"/>
    <cellStyle name="_3 - Plaintes client &amp; pb Majeur_83090147-DDQ-TAV-EN-001_OUTILS_PILOTAGE" xfId="29" xr:uid="{00000000-0005-0000-0000-00001C000000}"/>
    <cellStyle name="_3 - Plaintes client &amp; pb Majeur_83090147-DDQ-TAV-EN-001_OUTILS_PILOTAGE-1" xfId="30" xr:uid="{00000000-0005-0000-0000-00001D000000}"/>
    <cellStyle name="_3 - Plaintes client &amp; pb Majeur_dossierpilotage_dts_2012_10_19" xfId="31" xr:uid="{00000000-0005-0000-0000-00001E000000}"/>
    <cellStyle name="_4 - Planning directeur" xfId="32" xr:uid="{00000000-0005-0000-0000-00001F000000}"/>
    <cellStyle name="_4 - Planning directeur 2" xfId="33" xr:uid="{00000000-0005-0000-0000-000020000000}"/>
    <cellStyle name="_4 - Planning directeur_5-Charges MO" xfId="34" xr:uid="{00000000-0005-0000-0000-000021000000}"/>
    <cellStyle name="_4 - Planning directeur_83090147-DDQ-TAV-EN-001_OUTILS_PILOTAGE" xfId="35" xr:uid="{00000000-0005-0000-0000-000022000000}"/>
    <cellStyle name="_4 - Planning directeur_83090147-DDQ-TAV-EN-001_OUTILS_PILOTAGE-1" xfId="36" xr:uid="{00000000-0005-0000-0000-000023000000}"/>
    <cellStyle name="_4 - Planning directeur_dossierpilotage_dts_2012_10_19" xfId="37" xr:uid="{00000000-0005-0000-0000-000024000000}"/>
    <cellStyle name="_5 - Risques" xfId="38" xr:uid="{00000000-0005-0000-0000-000025000000}"/>
    <cellStyle name="_5 - Risques 2" xfId="39" xr:uid="{00000000-0005-0000-0000-000026000000}"/>
    <cellStyle name="_5 - Risques_5-Charges MO" xfId="40" xr:uid="{00000000-0005-0000-0000-000027000000}"/>
    <cellStyle name="_5 - Risques_83090147-DDQ-TAV-EN-001_OUTILS_PILOTAGE" xfId="41" xr:uid="{00000000-0005-0000-0000-000028000000}"/>
    <cellStyle name="_5 - Risques_83090147-DDQ-TAV-EN-001_OUTILS_PILOTAGE-1" xfId="42" xr:uid="{00000000-0005-0000-0000-000029000000}"/>
    <cellStyle name="_5 - Risques_dossierpilotage_dts_2012_10_19" xfId="43" xr:uid="{00000000-0005-0000-0000-00002A000000}"/>
    <cellStyle name="_6 - Opportunités" xfId="44" xr:uid="{00000000-0005-0000-0000-00002B000000}"/>
    <cellStyle name="_6 - Opportunités 2" xfId="45" xr:uid="{00000000-0005-0000-0000-00002C000000}"/>
    <cellStyle name="_6 - Opportunités_5-Charges MO" xfId="46" xr:uid="{00000000-0005-0000-0000-00002D000000}"/>
    <cellStyle name="_6 - Opportunités_83090147-DDQ-TAV-EN-001_OUTILS_PILOTAGE" xfId="47" xr:uid="{00000000-0005-0000-0000-00002E000000}"/>
    <cellStyle name="_6 - Opportunités_83090147-DDQ-TAV-EN-001_OUTILS_PILOTAGE-1" xfId="48" xr:uid="{00000000-0005-0000-0000-00002F000000}"/>
    <cellStyle name="_6 - Opportunités_dossierpilotage_dts_2012_10_19" xfId="49" xr:uid="{00000000-0005-0000-0000-000030000000}"/>
    <cellStyle name="_7 - Recommandations AQ" xfId="50" xr:uid="{00000000-0005-0000-0000-000031000000}"/>
    <cellStyle name="_7 - Recommandations AQ 2" xfId="51" xr:uid="{00000000-0005-0000-0000-000032000000}"/>
    <cellStyle name="_7 - Recommandations AQ_5-Charges MO" xfId="52" xr:uid="{00000000-0005-0000-0000-000033000000}"/>
    <cellStyle name="_7 - Recommandations AQ_83090147-DDQ-TAV-EN-001_OUTILS_PILOTAGE" xfId="53" xr:uid="{00000000-0005-0000-0000-000034000000}"/>
    <cellStyle name="_7 - Recommandations AQ_83090147-DDQ-TAV-EN-001_OUTILS_PILOTAGE-1" xfId="54" xr:uid="{00000000-0005-0000-0000-000035000000}"/>
    <cellStyle name="_7 - Recommandations AQ_dossierpilotage_dts_2012_10_19" xfId="55" xr:uid="{00000000-0005-0000-0000-000036000000}"/>
    <cellStyle name="_87201044-MGPR-GRP-EN-Draft002-Project_reporting_template_b_20110121" xfId="56" xr:uid="{00000000-0005-0000-0000-000037000000}"/>
    <cellStyle name="_87201044-MGPR-GRP-EN-Draft002-Project_reporting_template_b_20110121_83090147-DDQ-TAV-EN-001_OUTILS_PILOTAGE" xfId="57" xr:uid="{00000000-0005-0000-0000-000038000000}"/>
    <cellStyle name="_87201044-MGPR-GRP-EN-Draft002-Project_reporting_template_b_20110121_83090147-DDQ-TAV-EN-001_OUTILS_PILOTAGE-1" xfId="58" xr:uid="{00000000-0005-0000-0000-000039000000}"/>
    <cellStyle name="_87201044-MGPR-GRP-EN-Draft002-Project_reporting_template_b_20110121_dossierpilotage_dts_2012_10_19" xfId="59" xr:uid="{00000000-0005-0000-0000-00003A000000}"/>
    <cellStyle name="_87201044-MGPR-GRP-FR-Draft002-Modele_reporting_projet_c_20110130" xfId="60" xr:uid="{00000000-0005-0000-0000-00003B000000}"/>
    <cellStyle name="_87201044-MGPR-GRP-FR-Draft002-Modele_reporting_projet_c_20110130_83090147-DDQ-TAV-EN-001_OUTILS_PILOTAGE" xfId="61" xr:uid="{00000000-0005-0000-0000-00003C000000}"/>
    <cellStyle name="_87201044-MGPR-GRP-FR-Draft002-Modele_reporting_projet_c_20110130_83090147-DDQ-TAV-EN-001_OUTILS_PILOTAGE-1" xfId="62" xr:uid="{00000000-0005-0000-0000-00003D000000}"/>
    <cellStyle name="_87201044-MGPR-GRP-FR-Draft002-Modele_reporting_projet_c_20110130_dossierpilotage_dts_2012_10_19" xfId="63" xr:uid="{00000000-0005-0000-0000-00003E000000}"/>
    <cellStyle name="_87201044-PRJ-GRP-en" xfId="64" xr:uid="{00000000-0005-0000-0000-00003F000000}"/>
    <cellStyle name="_87201044-PRJ-GRP-en_5-Charges MO" xfId="65" xr:uid="{00000000-0005-0000-0000-000040000000}"/>
    <cellStyle name="_87201044-PRJ-GRP-fr" xfId="66" xr:uid="{00000000-0005-0000-0000-000041000000}"/>
    <cellStyle name="_87201044-PRJ-GRP-fr 2" xfId="67" xr:uid="{00000000-0005-0000-0000-000042000000}"/>
    <cellStyle name="_87201044-PRJ-GRP-fr_5-Charges MO" xfId="68" xr:uid="{00000000-0005-0000-0000-000043000000}"/>
    <cellStyle name="_87201247-EN-001-Project Monitoring Dashboard File" xfId="69" xr:uid="{00000000-0005-0000-0000-000044000000}"/>
    <cellStyle name="_87201247-EN-001-Project_Monitoring_Dashboard_File" xfId="70" xr:uid="{00000000-0005-0000-0000-000045000000}"/>
    <cellStyle name="_87201247-EN-001-Project_Monitoring_Dashboard_File_83090147-DDQ-TAV-EN-001_OUTILS_PILOTAGE" xfId="71" xr:uid="{00000000-0005-0000-0000-000046000000}"/>
    <cellStyle name="_87201247-EN-001-Project_Monitoring_Dashboard_File_83090147-DDQ-TAV-EN-001_OUTILS_PILOTAGE-1" xfId="72" xr:uid="{00000000-0005-0000-0000-000047000000}"/>
    <cellStyle name="_87201247-EN-001-Project_Monitoring_Dashboard_File_dossierpilotage_dts_2012_10_19" xfId="73" xr:uid="{00000000-0005-0000-0000-000048000000}"/>
    <cellStyle name="_87201247-FR-001-Tableau_de_Bord_Pilotage_du_Projet" xfId="74" xr:uid="{00000000-0005-0000-0000-000049000000}"/>
    <cellStyle name="_87201247-FR-001-Tableau_de_Bord_Pilotage_du_Projet_83090147-DDQ-TAV-EN-001_OUTILS_PILOTAGE" xfId="75" xr:uid="{00000000-0005-0000-0000-00004A000000}"/>
    <cellStyle name="_87201247-FR-001-Tableau_de_Bord_Pilotage_du_Projet_83090147-DDQ-TAV-EN-001_OUTILS_PILOTAGE-1" xfId="76" xr:uid="{00000000-0005-0000-0000-00004B000000}"/>
    <cellStyle name="_87201247-FR-001-Tableau_de_Bord_Pilotage_du_Projet_dossierpilotage_dts_2012_10_19" xfId="77" xr:uid="{00000000-0005-0000-0000-00004C000000}"/>
    <cellStyle name="_8A - Finance FC" xfId="78" xr:uid="{00000000-0005-0000-0000-00004D000000}"/>
    <cellStyle name="_8A - Finance FC 2" xfId="79" xr:uid="{00000000-0005-0000-0000-00004E000000}"/>
    <cellStyle name="_8A - Finance FC_5-Charges MO" xfId="80" xr:uid="{00000000-0005-0000-0000-00004F000000}"/>
    <cellStyle name="_8A - Finance FC_83090147-DDQ-TAV-EN-001_OUTILS_PILOTAGE" xfId="81" xr:uid="{00000000-0005-0000-0000-000050000000}"/>
    <cellStyle name="_8A - Finance FC_83090147-DDQ-TAV-EN-001_OUTILS_PILOTAGE-1" xfId="82" xr:uid="{00000000-0005-0000-0000-000051000000}"/>
    <cellStyle name="_8A - Finance FC_dossierpilotage_dts_2012_10_19" xfId="83" xr:uid="{00000000-0005-0000-0000-000052000000}"/>
    <cellStyle name="_D3S_Program_dashboard_ B-1" xfId="84" xr:uid="{00000000-0005-0000-0000-000053000000}"/>
    <cellStyle name="_D3S_Program_dashboard_ B-1 2" xfId="85" xr:uid="{00000000-0005-0000-0000-000054000000}"/>
    <cellStyle name="_D3S_Program_dashboard_ B-1 2 2" xfId="86" xr:uid="{00000000-0005-0000-0000-000055000000}"/>
    <cellStyle name="_D3S_Program_dashboard_ B-1 3" xfId="87" xr:uid="{00000000-0005-0000-0000-000056000000}"/>
    <cellStyle name="_D3S_Program_dashboard_ B-1_1 - Fiche descriptive" xfId="88" xr:uid="{00000000-0005-0000-0000-000057000000}"/>
    <cellStyle name="_D3S_Program_dashboard_ B-1_5-Charges MO" xfId="89" xr:uid="{00000000-0005-0000-0000-000058000000}"/>
    <cellStyle name="_D3S_Program_dashboard_ B-1_7 - Recommandations AQ" xfId="90" xr:uid="{00000000-0005-0000-0000-000059000000}"/>
    <cellStyle name="_D3S_Program_dashboard_ B-1_Maquette_TDB_10-09-29-LV-V2" xfId="91" xr:uid="{00000000-0005-0000-0000-00005A000000}"/>
    <cellStyle name="_D3S_Program_dashboard_ B-1_Maquette_TDB_10-09-29-LV-V2 2" xfId="92" xr:uid="{00000000-0005-0000-0000-00005B000000}"/>
    <cellStyle name="_D3S_Program_dashboard_ B-1_Maquette_TDB_10-09-29-LV-V2 2 2" xfId="93" xr:uid="{00000000-0005-0000-0000-00005C000000}"/>
    <cellStyle name="_D3S_Program_dashboard_ B-1_Maquette_TDB_10-09-29-LV-V2 3" xfId="94" xr:uid="{00000000-0005-0000-0000-00005D000000}"/>
    <cellStyle name="_D3S_Program_dashboard_ B-1_Maquette_TDB_10-09-29-LV-V2_5-Charges MO" xfId="95" xr:uid="{00000000-0005-0000-0000-00005E000000}"/>
    <cellStyle name="_LINKS_CLEANUP_17" xfId="96" xr:uid="{00000000-0005-0000-0000-00005F000000}"/>
    <cellStyle name="_LV_DASHBOARD_V5.6.A.2_AUTO" xfId="97" xr:uid="{00000000-0005-0000-0000-000060000000}"/>
    <cellStyle name="_LV_DASHBOARD_V5.6.A.2_AUTO 2" xfId="98" xr:uid="{00000000-0005-0000-0000-000061000000}"/>
    <cellStyle name="_LV_DASHBOARD_V5.6.A.2_AUTO 3" xfId="99" xr:uid="{00000000-0005-0000-0000-000062000000}"/>
    <cellStyle name="_MAP-F-DAE-025-00-F_07 FR_draft A" xfId="100" xr:uid="{00000000-0005-0000-0000-000063000000}"/>
    <cellStyle name="_MAP-F-DAE-025-00-F_07 FR_draft A 2" xfId="101" xr:uid="{00000000-0005-0000-0000-000064000000}"/>
    <cellStyle name="_MAP-F-TSA-005-00-D" xfId="102" xr:uid="{00000000-0005-0000-0000-000065000000}"/>
    <cellStyle name="_Maquette_TDB_10-09-29-LV-V2" xfId="103" xr:uid="{00000000-0005-0000-0000-000066000000}"/>
    <cellStyle name="_Maquette_TDB_10-09-29-LV-V2 2" xfId="104" xr:uid="{00000000-0005-0000-0000-000067000000}"/>
    <cellStyle name="_Maquette_TDB_10-09-29-LV-V2 2 2" xfId="105" xr:uid="{00000000-0005-0000-0000-000068000000}"/>
    <cellStyle name="_Maquette_TDB_10-09-29-LV-V2 3" xfId="106" xr:uid="{00000000-0005-0000-0000-000069000000}"/>
    <cellStyle name="_Maquette_TDB_10-09-29-LV-V2_5-Charges MO" xfId="107" xr:uid="{00000000-0005-0000-0000-00006A000000}"/>
    <cellStyle name="_Maquette_TDB_PGM_20100729" xfId="108" xr:uid="{00000000-0005-0000-0000-00006B000000}"/>
    <cellStyle name="_Maquette_TDB_PGM_20100729 2" xfId="109" xr:uid="{00000000-0005-0000-0000-00006C000000}"/>
    <cellStyle name="_Maquette_TDB_PGM_20100729 2 2" xfId="110" xr:uid="{00000000-0005-0000-0000-00006D000000}"/>
    <cellStyle name="_Maquette_TDB_PGM_20100729 3" xfId="111" xr:uid="{00000000-0005-0000-0000-00006E000000}"/>
    <cellStyle name="_Maquette_TDB_PGM_20100729_1 - Fiche descriptive" xfId="112" xr:uid="{00000000-0005-0000-0000-00006F000000}"/>
    <cellStyle name="_Maquette_TDB_PGM_20100729_5-Charges MO" xfId="113" xr:uid="{00000000-0005-0000-0000-000070000000}"/>
    <cellStyle name="_Maquette_TDB_PGM_20100729_7 - Recommandations AQ" xfId="114" xr:uid="{00000000-0005-0000-0000-000071000000}"/>
    <cellStyle name="_Maquette_TDB_PGM_4-5-7_DAé-1" xfId="115" xr:uid="{00000000-0005-0000-0000-000072000000}"/>
    <cellStyle name="_Maquette_TDB_PGM_4-5-7_DAé-1 2" xfId="116" xr:uid="{00000000-0005-0000-0000-000073000000}"/>
    <cellStyle name="_Maquette_TDB_PGM_4-5-7_DAé-1 2 2" xfId="117" xr:uid="{00000000-0005-0000-0000-000074000000}"/>
    <cellStyle name="_Maquette_TDB_PGM_4-5-7_DAé-1 3" xfId="118" xr:uid="{00000000-0005-0000-0000-000075000000}"/>
    <cellStyle name="_Maquette_TDB_PGM_4-5-7_DAé-1_1 - Fiche descriptive" xfId="119" xr:uid="{00000000-0005-0000-0000-000076000000}"/>
    <cellStyle name="_Maquette_TDB_PGM_4-5-7_DAé-1_5-Charges MO" xfId="120" xr:uid="{00000000-0005-0000-0000-000077000000}"/>
    <cellStyle name="_Maquette_TDB_PGM_4-5-7_DAé-1_7 - Recommandations AQ" xfId="121" xr:uid="{00000000-0005-0000-0000-000078000000}"/>
    <cellStyle name="_Maquette_TDB_PGM_4-5-7_DAé-1_99-2 Baseline Status (ECRs) (2)" xfId="122" xr:uid="{00000000-0005-0000-0000-000079000000}"/>
    <cellStyle name="_Maquette_TDB_PGM_4-5-7_DAé-1_99-3 Formal IVV status (2)" xfId="123" xr:uid="{00000000-0005-0000-0000-00007A000000}"/>
    <cellStyle name="_Maquette_TDB_PGM_4-5-7_DAé-1_MAP-F-DAE-025-00-D" xfId="124" xr:uid="{00000000-0005-0000-0000-00007B000000}"/>
    <cellStyle name="_Maquette_TDB_PGM_4-5-7_DAé-1_MAP-F-DAE-025-00-D 2" xfId="125" xr:uid="{00000000-0005-0000-0000-00007C000000}"/>
    <cellStyle name="_Maquette_TDB_PGM_4-5-7_DAé-1_MAP-F-DAE-025-00-D 2 2" xfId="126" xr:uid="{00000000-0005-0000-0000-00007D000000}"/>
    <cellStyle name="_Maquette_TDB_PGM_4-5-7_DAé-1_MAP-F-DAE-025-00-D 3" xfId="127" xr:uid="{00000000-0005-0000-0000-00007E000000}"/>
    <cellStyle name="_Maquette_TDB_PGM_4-5-7_DAé-1_MAP-S76-AVS-2010-04.new-xls" xfId="128" xr:uid="{00000000-0005-0000-0000-00007F000000}"/>
    <cellStyle name="_Maquette_TDB_PGM_4-5-7_DAé-1_Nettoyage_fichier" xfId="129" xr:uid="{00000000-0005-0000-0000-000080000000}"/>
    <cellStyle name="_Maquette_TDB_PGM_4-5-7_DAé-1_Nettoyage_fichier 2" xfId="130" xr:uid="{00000000-0005-0000-0000-000081000000}"/>
    <cellStyle name="_Maquette_TDB_PGM_4-5-7_DAé-1_Nettoyage_fichier 2 2" xfId="131" xr:uid="{00000000-0005-0000-0000-000082000000}"/>
    <cellStyle name="_Maquette_TDB_PGM_4-5-7_DAé-1_Nettoyage_fichier 3" xfId="132" xr:uid="{00000000-0005-0000-0000-000083000000}"/>
    <cellStyle name="_Maquette_TDB_PGM_4-5-7_DAé-1_TdB 30_04_2010 TASFR00580937AJ-1 THTH" xfId="133" xr:uid="{00000000-0005-0000-0000-000084000000}"/>
    <cellStyle name="_Maquette_TDB_PGM_4-5-7_DAé-1_TdB-S76-CIS-2010-03 V38 Recup" xfId="134" xr:uid="{00000000-0005-0000-0000-000085000000}"/>
    <cellStyle name="_Maquette_TDB_PGM_4-5-7_WS June 10th-2" xfId="135" xr:uid="{00000000-0005-0000-0000-000086000000}"/>
    <cellStyle name="_Maquette_TDB_PGM_4-5-7_WS June 10th-2 2" xfId="136" xr:uid="{00000000-0005-0000-0000-000087000000}"/>
    <cellStyle name="_Maquette_TDB_PGM_4-5-7_WS June 10th-2 2 2" xfId="137" xr:uid="{00000000-0005-0000-0000-000088000000}"/>
    <cellStyle name="_Maquette_TDB_PGM_4-5-7_WS June 10th-2 3" xfId="138" xr:uid="{00000000-0005-0000-0000-000089000000}"/>
    <cellStyle name="_Maquette_TDB_PGM_4-5-7_WS June 10th-2_1 - Fiche descriptive" xfId="139" xr:uid="{00000000-0005-0000-0000-00008A000000}"/>
    <cellStyle name="_Maquette_TDB_PGM_4-5-7_WS June 10th-2_5-Charges MO" xfId="140" xr:uid="{00000000-0005-0000-0000-00008B000000}"/>
    <cellStyle name="_Maquette_TDB_PGM_4-5-7_WS June 10th-2_7 - Recommandations AQ" xfId="141" xr:uid="{00000000-0005-0000-0000-00008C000000}"/>
    <cellStyle name="_Maquette_TDB_PGM_4-5-7_WS June 9th-2" xfId="142" xr:uid="{00000000-0005-0000-0000-00008D000000}"/>
    <cellStyle name="_Maquette_TDB_PGM_4-5-7_WS June 9th-2 2" xfId="143" xr:uid="{00000000-0005-0000-0000-00008E000000}"/>
    <cellStyle name="_Maquette_TDB_PGM_4-5-7_WS June 9th-2 2 2" xfId="144" xr:uid="{00000000-0005-0000-0000-00008F000000}"/>
    <cellStyle name="_Maquette_TDB_PGM_4-5-7_WS June 9th-2 3" xfId="145" xr:uid="{00000000-0005-0000-0000-000090000000}"/>
    <cellStyle name="_Maquette_TDB_PGM_4-5-7_WS June 9th-2_1 - Fiche descriptive" xfId="146" xr:uid="{00000000-0005-0000-0000-000091000000}"/>
    <cellStyle name="_Maquette_TDB_PGM_4-5-7_WS June 9th-2_5-Charges MO" xfId="147" xr:uid="{00000000-0005-0000-0000-000092000000}"/>
    <cellStyle name="_Maquette_TDB_PGM_4-5-7_WS June 9th-2_7 - Recommandations AQ" xfId="148" xr:uid="{00000000-0005-0000-0000-000093000000}"/>
    <cellStyle name="_Maquette_TDB4" xfId="149" xr:uid="{00000000-0005-0000-0000-000094000000}"/>
    <cellStyle name="_Maquette_TDB4 2" xfId="150" xr:uid="{00000000-0005-0000-0000-000095000000}"/>
    <cellStyle name="_Maquette_TDB4 2 2" xfId="151" xr:uid="{00000000-0005-0000-0000-000096000000}"/>
    <cellStyle name="_Maquette_TDB4 3" xfId="152" xr:uid="{00000000-0005-0000-0000-000097000000}"/>
    <cellStyle name="_Maquette_TDB4_1 - Fiche descriptive" xfId="153" xr:uid="{00000000-0005-0000-0000-000098000000}"/>
    <cellStyle name="_Maquette_TDB4_5-Charges MO" xfId="154" xr:uid="{00000000-0005-0000-0000-000099000000}"/>
    <cellStyle name="_Maquette_TDB4_7 - Recommandations AQ" xfId="155" xr:uid="{00000000-0005-0000-0000-00009A000000}"/>
    <cellStyle name="_Maquette_TDB4_Maquette_TDB_10-09-29-LV-V2" xfId="156" xr:uid="{00000000-0005-0000-0000-00009B000000}"/>
    <cellStyle name="_Maquette_TDB4_Maquette_TDB_10-09-29-LV-V2 2" xfId="157" xr:uid="{00000000-0005-0000-0000-00009C000000}"/>
    <cellStyle name="_Maquette_TDB4_Maquette_TDB_10-09-29-LV-V2 2 2" xfId="158" xr:uid="{00000000-0005-0000-0000-00009D000000}"/>
    <cellStyle name="_Maquette_TDB4_Maquette_TDB_10-09-29-LV-V2 3" xfId="159" xr:uid="{00000000-0005-0000-0000-00009E000000}"/>
    <cellStyle name="_Maquette_TDB4_Maquette_TDB_10-09-29-LV-V2_5-Charges MO" xfId="160" xr:uid="{00000000-0005-0000-0000-00009F000000}"/>
    <cellStyle name="_Modèle reporting projet-87201044-MGPR-GRP-FR-" xfId="161" xr:uid="{00000000-0005-0000-0000-0000A0000000}"/>
    <cellStyle name="_Modèle reporting projet-87201044-MGPR-GRP-FR-_5-Charges MO" xfId="162" xr:uid="{00000000-0005-0000-0000-0000A1000000}"/>
    <cellStyle name="_Modèle reporting projet-87201044-MGPR-GRP-FR-_83090147-DDQ-TAV-EN-001_OUTILS_PILOTAGE" xfId="163" xr:uid="{00000000-0005-0000-0000-0000A2000000}"/>
    <cellStyle name="_Modèle reporting projet-87201044-MGPR-GRP-FR-_83090147-DDQ-TAV-EN-001_OUTILS_PILOTAGE-1" xfId="164" xr:uid="{00000000-0005-0000-0000-0000A3000000}"/>
    <cellStyle name="_Modèle reporting projet-87201044-MGPR-GRP-FR-_dossierpilotage_dts_2012_10_19" xfId="165" xr:uid="{00000000-0005-0000-0000-0000A4000000}"/>
    <cellStyle name="_Project Monitoring Dashboard File_02162011_V1a" xfId="166" xr:uid="{00000000-0005-0000-0000-0000A5000000}"/>
    <cellStyle name="_Project Monitoring Dashboard File_02162011_V1a_83090147-DDQ-TAV-EN-001_OUTILS_PILOTAGE" xfId="167" xr:uid="{00000000-0005-0000-0000-0000A6000000}"/>
    <cellStyle name="_Project Monitoring Dashboard File_02162011_V1a_83090147-DDQ-TAV-EN-001_OUTILS_PILOTAGE-1" xfId="168" xr:uid="{00000000-0005-0000-0000-0000A7000000}"/>
    <cellStyle name="_Project Monitoring Dashboard File_02162011_V1a_dossierpilotage_dts_2012_10_19" xfId="169" xr:uid="{00000000-0005-0000-0000-0000A8000000}"/>
    <cellStyle name="_Project Monitoring Dashboard File_20110210_V1" xfId="170" xr:uid="{00000000-0005-0000-0000-0000A9000000}"/>
    <cellStyle name="_Project Monitoring Dashboard File_20110210_V1_83090147-DDQ-TAV-EN-001_OUTILS_PILOTAGE" xfId="171" xr:uid="{00000000-0005-0000-0000-0000AA000000}"/>
    <cellStyle name="_Project Monitoring Dashboard File_20110210_V1_83090147-DDQ-TAV-EN-001_OUTILS_PILOTAGE-1" xfId="172" xr:uid="{00000000-0005-0000-0000-0000AB000000}"/>
    <cellStyle name="_Project Monitoring Dashboard File_20110210_V1_dossierpilotage_dts_2012_10_19" xfId="173" xr:uid="{00000000-0005-0000-0000-0000AC000000}"/>
    <cellStyle name="_Project reporting template-87201044-MGPR-GRP-EN-" xfId="174" xr:uid="{00000000-0005-0000-0000-0000AD000000}"/>
    <cellStyle name="_Project reporting template-87201044-MGPR-GRP-EN- 2" xfId="175" xr:uid="{00000000-0005-0000-0000-0000AE000000}"/>
    <cellStyle name="_Project reporting template-87201044-MGPR-GRP-EN- 2 2" xfId="176" xr:uid="{00000000-0005-0000-0000-0000AF000000}"/>
    <cellStyle name="_Project reporting template-87201044-MGPR-GRP-EN- 3" xfId="177" xr:uid="{00000000-0005-0000-0000-0000B0000000}"/>
    <cellStyle name="_Project reporting template-87201044-MGPR-GRP-EN-_5-Charges MO" xfId="178" xr:uid="{00000000-0005-0000-0000-0000B1000000}"/>
    <cellStyle name="_Solution_Monitoring_Dashboard_File" xfId="179" xr:uid="{00000000-0005-0000-0000-0000B2000000}"/>
    <cellStyle name="_Solution_Monitoring_Dashboard_File_83090147-DDQ-TAV-EN-001_OUTILS_PILOTAGE" xfId="180" xr:uid="{00000000-0005-0000-0000-0000B3000000}"/>
    <cellStyle name="_Solution_Monitoring_Dashboard_File_83090147-DDQ-TAV-EN-001_OUTILS_PILOTAGE-1" xfId="181" xr:uid="{00000000-0005-0000-0000-0000B4000000}"/>
    <cellStyle name="_Solution_Monitoring_Dashboard_File_dossierpilotage_dts_2012_10_19" xfId="182" xr:uid="{00000000-0005-0000-0000-0000B5000000}"/>
    <cellStyle name="_Solution_Monitoring_Tools_File_V2" xfId="183" xr:uid="{00000000-0005-0000-0000-0000B6000000}"/>
    <cellStyle name="_Solution_Monitoring_Tools_File_V2_83090147-DDQ-TAV-EN-001_OUTILS_PILOTAGE" xfId="184" xr:uid="{00000000-0005-0000-0000-0000B7000000}"/>
    <cellStyle name="_Solution_Monitoring_Tools_File_V2_83090147-DDQ-TAV-EN-001_OUTILS_PILOTAGE-1" xfId="185" xr:uid="{00000000-0005-0000-0000-0000B8000000}"/>
    <cellStyle name="_Solution_Monitoring_Tools_File_V2_dossierpilotage_dts_2012_10_19" xfId="186" xr:uid="{00000000-0005-0000-0000-0000B9000000}"/>
    <cellStyle name="12Under" xfId="187" xr:uid="{00000000-0005-0000-0000-0000BA000000}"/>
    <cellStyle name="20 % - Akzent1" xfId="194" builtinId="30" customBuiltin="1"/>
    <cellStyle name="20 % - Akzent2" xfId="195" builtinId="34" customBuiltin="1"/>
    <cellStyle name="20 % - Akzent3" xfId="196" builtinId="38" customBuiltin="1"/>
    <cellStyle name="20 % - Akzent4" xfId="197" builtinId="42" customBuiltin="1"/>
    <cellStyle name="20 % - Akzent5" xfId="198" builtinId="46" customBuiltin="1"/>
    <cellStyle name="20 % - Akzent6" xfId="199" builtinId="50" customBuiltin="1"/>
    <cellStyle name="20 % - Accent1 2" xfId="188" xr:uid="{00000000-0005-0000-0000-0000BC000000}"/>
    <cellStyle name="20 % - Accent2 2" xfId="189" xr:uid="{00000000-0005-0000-0000-0000BE000000}"/>
    <cellStyle name="20 % - Accent3 2" xfId="190" xr:uid="{00000000-0005-0000-0000-0000C0000000}"/>
    <cellStyle name="20 % - Accent4 2" xfId="191" xr:uid="{00000000-0005-0000-0000-0000C2000000}"/>
    <cellStyle name="20 % - Accent5 2" xfId="192" xr:uid="{00000000-0005-0000-0000-0000C4000000}"/>
    <cellStyle name="20 % - Accent6 2" xfId="193" xr:uid="{00000000-0005-0000-0000-0000C6000000}"/>
    <cellStyle name="40 % - Akzent1" xfId="206" builtinId="31" customBuiltin="1"/>
    <cellStyle name="40 % - Akzent2" xfId="207" builtinId="35" customBuiltin="1"/>
    <cellStyle name="40 % - Akzent3" xfId="208" builtinId="39" customBuiltin="1"/>
    <cellStyle name="40 % - Akzent4" xfId="209" builtinId="43" customBuiltin="1"/>
    <cellStyle name="40 % - Akzent5" xfId="210" builtinId="47" customBuiltin="1"/>
    <cellStyle name="40 % - Akzent6" xfId="211" builtinId="51" customBuiltin="1"/>
    <cellStyle name="40 % - Accent1 2" xfId="200" xr:uid="{00000000-0005-0000-0000-0000CE000000}"/>
    <cellStyle name="40 % - Accent2 2" xfId="201" xr:uid="{00000000-0005-0000-0000-0000D0000000}"/>
    <cellStyle name="40 % - Accent3 2" xfId="202" xr:uid="{00000000-0005-0000-0000-0000D2000000}"/>
    <cellStyle name="40 % - Accent4 2" xfId="203" xr:uid="{00000000-0005-0000-0000-0000D4000000}"/>
    <cellStyle name="40 % - Accent5 2" xfId="204" xr:uid="{00000000-0005-0000-0000-0000D6000000}"/>
    <cellStyle name="40 % - Accent6 2" xfId="205" xr:uid="{00000000-0005-0000-0000-0000D8000000}"/>
    <cellStyle name="60 % - Akzent1" xfId="218" builtinId="32" customBuiltin="1"/>
    <cellStyle name="60 % - Akzent2" xfId="219" builtinId="36" customBuiltin="1"/>
    <cellStyle name="60 % - Akzent3" xfId="220" builtinId="40" customBuiltin="1"/>
    <cellStyle name="60 % - Akzent4" xfId="221" builtinId="44" customBuiltin="1"/>
    <cellStyle name="60 % - Akzent5" xfId="222" builtinId="48" customBuiltin="1"/>
    <cellStyle name="60 % - Akzent6" xfId="223" builtinId="52" customBuiltin="1"/>
    <cellStyle name="60 % - Accent1 2" xfId="212" xr:uid="{00000000-0005-0000-0000-0000E0000000}"/>
    <cellStyle name="60 % - Accent2 2" xfId="213" xr:uid="{00000000-0005-0000-0000-0000E2000000}"/>
    <cellStyle name="60 % - Accent3 2" xfId="214" xr:uid="{00000000-0005-0000-0000-0000E4000000}"/>
    <cellStyle name="60 % - Accent4 2" xfId="215" xr:uid="{00000000-0005-0000-0000-0000E6000000}"/>
    <cellStyle name="60 % - Accent5 2" xfId="216" xr:uid="{00000000-0005-0000-0000-0000E8000000}"/>
    <cellStyle name="60 % - Accent6 2" xfId="217" xr:uid="{00000000-0005-0000-0000-0000EA000000}"/>
    <cellStyle name="Accent1 2" xfId="225" xr:uid="{00000000-0005-0000-0000-0000F2000000}"/>
    <cellStyle name="Accent2 2" xfId="227" xr:uid="{00000000-0005-0000-0000-0000F4000000}"/>
    <cellStyle name="Accent3 2" xfId="229" xr:uid="{00000000-0005-0000-0000-0000F6000000}"/>
    <cellStyle name="Accent4 2" xfId="231" xr:uid="{00000000-0005-0000-0000-0000F8000000}"/>
    <cellStyle name="Accent5 2" xfId="233" xr:uid="{00000000-0005-0000-0000-0000FA000000}"/>
    <cellStyle name="Accent6 2" xfId="235" xr:uid="{00000000-0005-0000-0000-0000FC000000}"/>
    <cellStyle name="Akzent1" xfId="224" builtinId="29" customBuiltin="1"/>
    <cellStyle name="Akzent2" xfId="226" builtinId="33" customBuiltin="1"/>
    <cellStyle name="Akzent3" xfId="228" builtinId="37" customBuiltin="1"/>
    <cellStyle name="Akzent4" xfId="230" builtinId="41" customBuiltin="1"/>
    <cellStyle name="Akzent5" xfId="232" builtinId="45" customBuiltin="1"/>
    <cellStyle name="Akzent6" xfId="234" builtinId="49" customBuiltin="1"/>
    <cellStyle name="Bad" xfId="883" xr:uid="{00000000-0005-0000-0000-0000FE000000}"/>
    <cellStyle name="Berechnung" xfId="245" builtinId="22" customBuiltin="1"/>
    <cellStyle name="Bord: quadrillage" xfId="236" xr:uid="{00000000-0005-0000-0000-0000FF000000}"/>
    <cellStyle name="Bord: quadrillage gras" xfId="237" xr:uid="{00000000-0005-0000-0000-000000010000}"/>
    <cellStyle name="Bord: quadrillage gras 2" xfId="1170" xr:uid="{E6CC26DB-73E0-447F-AC06-EED4707DF3BB}"/>
    <cellStyle name="Bord: rien" xfId="238" xr:uid="{00000000-0005-0000-0000-000001010000}"/>
    <cellStyle name="branche" xfId="239" xr:uid="{00000000-0005-0000-0000-000002010000}"/>
    <cellStyle name="branche 2" xfId="240" xr:uid="{00000000-0005-0000-0000-000003010000}"/>
    <cellStyle name="branche 2 2" xfId="241" xr:uid="{00000000-0005-0000-0000-000004010000}"/>
    <cellStyle name="branche_1 - Fiche descriptive" xfId="242" xr:uid="{00000000-0005-0000-0000-000005010000}"/>
    <cellStyle name="Caché" xfId="243" xr:uid="{00000000-0005-0000-0000-000006010000}"/>
    <cellStyle name="Calcul 2" xfId="244" xr:uid="{00000000-0005-0000-0000-000008010000}"/>
    <cellStyle name="CARTOUCHE_THOM" xfId="246" xr:uid="{00000000-0005-0000-0000-00000A010000}"/>
    <cellStyle name="Check Cell" xfId="1165" xr:uid="{00000000-0005-0000-0000-00000C010000}"/>
    <cellStyle name="Comma [0]" xfId="247" xr:uid="{00000000-0005-0000-0000-00000D010000}"/>
    <cellStyle name="Comma [0] 2" xfId="248" xr:uid="{00000000-0005-0000-0000-00000E010000}"/>
    <cellStyle name="Comma [0] 2 2" xfId="249" xr:uid="{00000000-0005-0000-0000-00000F010000}"/>
    <cellStyle name="Comma [0] 3" xfId="250" xr:uid="{00000000-0005-0000-0000-000010010000}"/>
    <cellStyle name="Comma [0] 3 2" xfId="251" xr:uid="{00000000-0005-0000-0000-000011010000}"/>
    <cellStyle name="Comma [0] 4" xfId="252" xr:uid="{00000000-0005-0000-0000-000012010000}"/>
    <cellStyle name="Comma [0] 4 2" xfId="253" xr:uid="{00000000-0005-0000-0000-000013010000}"/>
    <cellStyle name="Comma [0] 5" xfId="254" xr:uid="{00000000-0005-0000-0000-000014010000}"/>
    <cellStyle name="Comma [0] 5 2" xfId="1171" xr:uid="{97807492-3195-4FE2-97FE-5EB87F3B7F88}"/>
    <cellStyle name="Commentaire 2" xfId="255" xr:uid="{00000000-0005-0000-0000-000017010000}"/>
    <cellStyle name="Commentaire 3" xfId="256" xr:uid="{00000000-0005-0000-0000-000018010000}"/>
    <cellStyle name="Commentaire 3 2" xfId="257" xr:uid="{00000000-0005-0000-0000-000019010000}"/>
    <cellStyle name="Commentaire 4" xfId="258" xr:uid="{00000000-0005-0000-0000-00001A010000}"/>
    <cellStyle name="Commentaire 4 2" xfId="259" xr:uid="{00000000-0005-0000-0000-00001B010000}"/>
    <cellStyle name="Commentaire 5" xfId="260" xr:uid="{00000000-0005-0000-0000-00001C010000}"/>
    <cellStyle name="Commentaire 5 2" xfId="1172" xr:uid="{23782849-5A60-4BC0-A9E7-2E57EB8E29A9}"/>
    <cellStyle name="Coût" xfId="261" xr:uid="{00000000-0005-0000-0000-00001D010000}"/>
    <cellStyle name="Coût 2" xfId="262" xr:uid="{00000000-0005-0000-0000-00001E010000}"/>
    <cellStyle name="Coût 2 2" xfId="263" xr:uid="{00000000-0005-0000-0000-00001F010000}"/>
    <cellStyle name="Coût 3" xfId="264" xr:uid="{00000000-0005-0000-0000-000020010000}"/>
    <cellStyle name="Coût 3 2" xfId="265" xr:uid="{00000000-0005-0000-0000-000021010000}"/>
    <cellStyle name="Coût 4" xfId="266" xr:uid="{00000000-0005-0000-0000-000022010000}"/>
    <cellStyle name="Currency [0]" xfId="267" xr:uid="{00000000-0005-0000-0000-000023010000}"/>
    <cellStyle name="Currency [0] 2" xfId="268" xr:uid="{00000000-0005-0000-0000-000024010000}"/>
    <cellStyle name="Currency [0] 2 2" xfId="269" xr:uid="{00000000-0005-0000-0000-000025010000}"/>
    <cellStyle name="Currency [0] 3" xfId="270" xr:uid="{00000000-0005-0000-0000-000026010000}"/>
    <cellStyle name="Currency [0] 3 2" xfId="271" xr:uid="{00000000-0005-0000-0000-000027010000}"/>
    <cellStyle name="Currency [0] 4" xfId="272" xr:uid="{00000000-0005-0000-0000-000028010000}"/>
    <cellStyle name="Currency [0] 4 2" xfId="273" xr:uid="{00000000-0005-0000-0000-000029010000}"/>
    <cellStyle name="Currency [0] 5" xfId="274" xr:uid="{00000000-0005-0000-0000-00002A010000}"/>
    <cellStyle name="Currency [0] 5 2" xfId="1173" xr:uid="{76B3DFD2-A23D-4C70-B306-5A93B8329CD7}"/>
    <cellStyle name="Date" xfId="275" xr:uid="{00000000-0005-0000-0000-00002C010000}"/>
    <cellStyle name="Date 2" xfId="276" xr:uid="{00000000-0005-0000-0000-00002D010000}"/>
    <cellStyle name="Date 2 2" xfId="277" xr:uid="{00000000-0005-0000-0000-00002E010000}"/>
    <cellStyle name="Date 3" xfId="278" xr:uid="{00000000-0005-0000-0000-00002F010000}"/>
    <cellStyle name="Date anglaise" xfId="279" xr:uid="{00000000-0005-0000-0000-000030010000}"/>
    <cellStyle name="Date anglaise 2" xfId="280" xr:uid="{00000000-0005-0000-0000-000031010000}"/>
    <cellStyle name="Date anglaise 2 2" xfId="281" xr:uid="{00000000-0005-0000-0000-000032010000}"/>
    <cellStyle name="Date anglaise 3" xfId="282" xr:uid="{00000000-0005-0000-0000-000033010000}"/>
    <cellStyle name="Date anglaise 3 2" xfId="283" xr:uid="{00000000-0005-0000-0000-000034010000}"/>
    <cellStyle name="Date anglaise 4" xfId="284" xr:uid="{00000000-0005-0000-0000-000035010000}"/>
    <cellStyle name="Date mois" xfId="285" xr:uid="{00000000-0005-0000-0000-000036010000}"/>
    <cellStyle name="Date mois 2" xfId="286" xr:uid="{00000000-0005-0000-0000-000037010000}"/>
    <cellStyle name="Date mois 2 2" xfId="287" xr:uid="{00000000-0005-0000-0000-000038010000}"/>
    <cellStyle name="Date mois 3" xfId="288" xr:uid="{00000000-0005-0000-0000-000039010000}"/>
    <cellStyle name="Date mois 3 2" xfId="289" xr:uid="{00000000-0005-0000-0000-00003A010000}"/>
    <cellStyle name="Date mois 4" xfId="290" xr:uid="{00000000-0005-0000-0000-00003B010000}"/>
    <cellStyle name="Date saisie" xfId="291" xr:uid="{00000000-0005-0000-0000-00003C010000}"/>
    <cellStyle name="Date saisie 2" xfId="292" xr:uid="{00000000-0005-0000-0000-00003D010000}"/>
    <cellStyle name="Date saisie 2 2" xfId="293" xr:uid="{00000000-0005-0000-0000-00003E010000}"/>
    <cellStyle name="Date saisie 2 3" xfId="294" xr:uid="{00000000-0005-0000-0000-00003F010000}"/>
    <cellStyle name="Date saisie 3" xfId="295" xr:uid="{00000000-0005-0000-0000-000040010000}"/>
    <cellStyle name="Date saisie 3 2" xfId="296" xr:uid="{00000000-0005-0000-0000-000041010000}"/>
    <cellStyle name="Date saisie 4" xfId="297" xr:uid="{00000000-0005-0000-0000-000042010000}"/>
    <cellStyle name="Date saisie_5-Charges MO" xfId="298" xr:uid="{00000000-0005-0000-0000-000043010000}"/>
    <cellStyle name="date titre" xfId="299" xr:uid="{00000000-0005-0000-0000-000044010000}"/>
    <cellStyle name="Date_09.10.2007 Plan Quote Analysis" xfId="300" xr:uid="{00000000-0005-0000-0000-000045010000}"/>
    <cellStyle name="dateCEP" xfId="301" xr:uid="{00000000-0005-0000-0000-000046010000}"/>
    <cellStyle name="dateCEP 2" xfId="302" xr:uid="{00000000-0005-0000-0000-000047010000}"/>
    <cellStyle name="dateCEP 2 2" xfId="303" xr:uid="{00000000-0005-0000-0000-000048010000}"/>
    <cellStyle name="dateCEP 2 2 2" xfId="1176" xr:uid="{C1E59451-81DA-4133-92F8-560BDF92AA62}"/>
    <cellStyle name="dateCEP 2 3" xfId="1175" xr:uid="{C4838B75-E852-4686-B11E-B810F0C97F15}"/>
    <cellStyle name="dateCEP 3" xfId="304" xr:uid="{00000000-0005-0000-0000-000049010000}"/>
    <cellStyle name="dateCEP 3 2" xfId="1177" xr:uid="{B8A08239-B012-47C6-961D-8F4D69DECECB}"/>
    <cellStyle name="dateCEP 4" xfId="1174" xr:uid="{5550862C-A77A-4D79-BC7A-5D219DF9F490}"/>
    <cellStyle name="dateCEP_1 - Fiche descriptive" xfId="305" xr:uid="{00000000-0005-0000-0000-00004A010000}"/>
    <cellStyle name="DCh" xfId="306" xr:uid="{00000000-0005-0000-0000-00004B010000}"/>
    <cellStyle name="Déf_kLoc" xfId="307" xr:uid="{00000000-0005-0000-0000-00004C010000}"/>
    <cellStyle name="Desc" xfId="308" xr:uid="{00000000-0005-0000-0000-00004D010000}"/>
    <cellStyle name="Desc 2" xfId="309" xr:uid="{00000000-0005-0000-0000-00004E010000}"/>
    <cellStyle name="Desc 2 2" xfId="310" xr:uid="{00000000-0005-0000-0000-00004F010000}"/>
    <cellStyle name="Desc 3" xfId="311" xr:uid="{00000000-0005-0000-0000-000050010000}"/>
    <cellStyle name="Desc_1 - Fiche descriptive" xfId="312" xr:uid="{00000000-0005-0000-0000-000051010000}"/>
    <cellStyle name="Dollar" xfId="313" xr:uid="{00000000-0005-0000-0000-000053010000}"/>
    <cellStyle name="Dollar 2" xfId="314" xr:uid="{00000000-0005-0000-0000-000054010000}"/>
    <cellStyle name="Dollar 2 2" xfId="315" xr:uid="{00000000-0005-0000-0000-000055010000}"/>
    <cellStyle name="Dollar 3" xfId="316" xr:uid="{00000000-0005-0000-0000-000056010000}"/>
    <cellStyle name="Dollar_1 - Fiche descriptive" xfId="317" xr:uid="{00000000-0005-0000-0000-000057010000}"/>
    <cellStyle name="Donnée" xfId="318" xr:uid="{00000000-0005-0000-0000-000058010000}"/>
    <cellStyle name="Donnée 2" xfId="319" xr:uid="{00000000-0005-0000-0000-000059010000}"/>
    <cellStyle name="Donnée 3" xfId="320" xr:uid="{00000000-0005-0000-0000-00005A010000}"/>
    <cellStyle name="Donnée 3 2" xfId="321" xr:uid="{00000000-0005-0000-0000-00005B010000}"/>
    <cellStyle name="Donnée 4" xfId="322" xr:uid="{00000000-0005-0000-0000-00005C010000}"/>
    <cellStyle name="Donnée 5" xfId="323" xr:uid="{00000000-0005-0000-0000-00005D010000}"/>
    <cellStyle name="Donnée_1 - Fiche descriptive" xfId="324" xr:uid="{00000000-0005-0000-0000-00005E010000}"/>
    <cellStyle name="Eingabe" xfId="882" builtinId="20" customBuiltin="1"/>
    <cellStyle name="Entrée 2" xfId="325" xr:uid="{00000000-0005-0000-0000-000060010000}"/>
    <cellStyle name="Ergebnis" xfId="1150" builtinId="25" customBuiltin="1"/>
    <cellStyle name="Euro" xfId="326" xr:uid="{00000000-0005-0000-0000-000061010000}"/>
    <cellStyle name="Euro 2" xfId="327" xr:uid="{00000000-0005-0000-0000-000062010000}"/>
    <cellStyle name="Euro 2 2" xfId="328" xr:uid="{00000000-0005-0000-0000-000063010000}"/>
    <cellStyle name="Euro 3" xfId="329" xr:uid="{00000000-0005-0000-0000-000064010000}"/>
    <cellStyle name="Euro 3 2" xfId="330" xr:uid="{00000000-0005-0000-0000-000065010000}"/>
    <cellStyle name="Euro 3 2 2" xfId="1178" xr:uid="{CB46CD98-7154-48C5-B99E-A43669A0B30E}"/>
    <cellStyle name="Euro 3 3" xfId="331" xr:uid="{00000000-0005-0000-0000-000066010000}"/>
    <cellStyle name="Euro 4" xfId="332" xr:uid="{00000000-0005-0000-0000-000067010000}"/>
    <cellStyle name="Euro 4 2" xfId="333" xr:uid="{00000000-0005-0000-0000-000068010000}"/>
    <cellStyle name="Euro 5" xfId="334" xr:uid="{00000000-0005-0000-0000-000069010000}"/>
    <cellStyle name="Euro 5 2" xfId="1179" xr:uid="{0A57B334-2CF9-4188-8A76-AECD699008AD}"/>
    <cellStyle name="Explanatory Text" xfId="1134" xr:uid="{00000000-0005-0000-0000-00006A010000}"/>
    <cellStyle name="Fixé" xfId="335" xr:uid="{00000000-0005-0000-0000-00006B010000}"/>
    <cellStyle name="Fixé 2" xfId="336" xr:uid="{00000000-0005-0000-0000-00006C010000}"/>
    <cellStyle name="Fixé 2 2" xfId="337" xr:uid="{00000000-0005-0000-0000-00006D010000}"/>
    <cellStyle name="Fixé 3" xfId="338" xr:uid="{00000000-0005-0000-0000-00006E010000}"/>
    <cellStyle name="Fixé 3 2" xfId="339" xr:uid="{00000000-0005-0000-0000-00006F010000}"/>
    <cellStyle name="Fixé 4" xfId="340" xr:uid="{00000000-0005-0000-0000-000070010000}"/>
    <cellStyle name="Followed Hyperlink" xfId="341" xr:uid="{00000000-0005-0000-0000-000071010000}"/>
    <cellStyle name="Followed Hyperlink 2" xfId="342" xr:uid="{00000000-0005-0000-0000-000072010000}"/>
    <cellStyle name="Followed Hyperlink 2 2" xfId="343" xr:uid="{00000000-0005-0000-0000-000073010000}"/>
    <cellStyle name="Followed Hyperlink_1 - Fiche descriptive" xfId="344" xr:uid="{00000000-0005-0000-0000-000074010000}"/>
    <cellStyle name="Good" xfId="1111" xr:uid="{00000000-0005-0000-0000-000075010000}"/>
    <cellStyle name="gud" xfId="345" xr:uid="{00000000-0005-0000-0000-000076010000}"/>
    <cellStyle name="gud 2" xfId="346" xr:uid="{00000000-0005-0000-0000-000077010000}"/>
    <cellStyle name="gud 2 2" xfId="347" xr:uid="{00000000-0005-0000-0000-000078010000}"/>
    <cellStyle name="gud_1 - Fiche descriptive" xfId="348" xr:uid="{00000000-0005-0000-0000-000079010000}"/>
    <cellStyle name="H_Déf" xfId="349" xr:uid="{00000000-0005-0000-0000-00007A010000}"/>
    <cellStyle name="H_Déf_0.1 Fiche descriptive" xfId="350" xr:uid="{00000000-0005-0000-0000-00007B010000}"/>
    <cellStyle name="H_Déf_0.1 Fiche descriptive 2" xfId="351" xr:uid="{00000000-0005-0000-0000-00007C010000}"/>
    <cellStyle name="H_Déf_0.1 Fiche descriptive 2 2" xfId="352" xr:uid="{00000000-0005-0000-0000-00007D010000}"/>
    <cellStyle name="H_Déf_0.1 Fiche descriptive_1 - Fiche descriptive" xfId="353" xr:uid="{00000000-0005-0000-0000-00007E010000}"/>
    <cellStyle name="H_Déf_0.1 Fiche descriptive_5-Charges MO" xfId="354" xr:uid="{00000000-0005-0000-0000-00007F010000}"/>
    <cellStyle name="H_Déf_0.1 Fiche descriptive_5-Charges MO 2" xfId="1180" xr:uid="{8D82A9D7-4F69-4BA1-B615-6C8A106660F5}"/>
    <cellStyle name="H_Déf_0.1 Fiche descriptive_7 - Recommandations AQ" xfId="355" xr:uid="{00000000-0005-0000-0000-000080010000}"/>
    <cellStyle name="H_Déf_0.1 Fiche descriptive_906-1TdB AffaireS76-NAV_06_003458-17 (en cours)-1" xfId="356" xr:uid="{00000000-0005-0000-0000-000081010000}"/>
    <cellStyle name="H_Déf_0.1 Fiche descriptive_99-2 Baseline Status (ECRs) (2)" xfId="357" xr:uid="{00000000-0005-0000-0000-000082010000}"/>
    <cellStyle name="H_Déf_0.1 Fiche descriptive_99-2 Baseline Status (ECRs) (2) 2" xfId="1181" xr:uid="{AE5CE77F-B1C8-44CE-93DC-F88A5FB0B505}"/>
    <cellStyle name="H_Déf_0.1 Fiche descriptive_99-3 Formal IVV status (2)" xfId="358" xr:uid="{00000000-0005-0000-0000-000083010000}"/>
    <cellStyle name="H_Déf_0.1 Fiche descriptive_99-3 Formal IVV status (2) 2" xfId="1182" xr:uid="{05439680-795B-4715-A9AF-4E332EEB6E19}"/>
    <cellStyle name="H_Déf_0.1 Fiche descriptive_MAP-F-DAE-025-00-D" xfId="359" xr:uid="{00000000-0005-0000-0000-000084010000}"/>
    <cellStyle name="H_Déf_0.1 Fiche descriptive_MAP-F-DAE-025-00-D 2" xfId="360" xr:uid="{00000000-0005-0000-0000-000085010000}"/>
    <cellStyle name="H_Déf_0.1 Fiche descriptive_MAP-F-DAE-025-00-D 2 2" xfId="361" xr:uid="{00000000-0005-0000-0000-000086010000}"/>
    <cellStyle name="H_Déf_0.1 Fiche descriptive_MAP-S76-AVS-2010-04.new-xls" xfId="362" xr:uid="{00000000-0005-0000-0000-000087010000}"/>
    <cellStyle name="H_Déf_0.1 Fiche descriptive_MAP-S76-AVS-2010-04.new-xls 2" xfId="1183" xr:uid="{7B9EC2EB-B8D1-42DB-A86D-5CB515D75F4E}"/>
    <cellStyle name="H_Déf_0.1 Fiche descriptive_Nettoyage_fichier" xfId="363" xr:uid="{00000000-0005-0000-0000-000088010000}"/>
    <cellStyle name="H_Déf_0.1 Fiche descriptive_Nettoyage_fichier 2" xfId="364" xr:uid="{00000000-0005-0000-0000-000089010000}"/>
    <cellStyle name="H_Déf_0.1 Fiche descriptive_Nettoyage_fichier 2 2" xfId="365" xr:uid="{00000000-0005-0000-0000-00008A010000}"/>
    <cellStyle name="H_Déf_0.1 Fiche descriptive_TdB 30_04_2010 TASFR00580937AJ-1 THTH" xfId="366" xr:uid="{00000000-0005-0000-0000-00008B010000}"/>
    <cellStyle name="H_Déf_0.1 Fiche descriptive_TdB 30_04_2010 TASFR00580937AJ-1 THTH 2" xfId="367" xr:uid="{00000000-0005-0000-0000-00008C010000}"/>
    <cellStyle name="H_Déf_0.1 Fiche descriptive_tdb MAP CAM ATR42 NAV 08-00531-03" xfId="368" xr:uid="{00000000-0005-0000-0000-00008D010000}"/>
    <cellStyle name="H_Déf_0.1 Fiche descriptive_tdb MAP CAM ATR42 NAV 08-00531-03 2" xfId="1184" xr:uid="{8F5F54F6-6207-43D6-92F8-BCB254C295DA}"/>
    <cellStyle name="H_Déf_0.1 Fiche descriptive_TdB-S76-CIS-2010-03 V38 Recup" xfId="369" xr:uid="{00000000-0005-0000-0000-00008E010000}"/>
    <cellStyle name="H_Déf_0.1 Fiche descriptive_TdB-S76-CIS-2010-03 V38 Recup 2" xfId="1185" xr:uid="{3BC26463-083D-44C9-AAB5-D081FC0699B2}"/>
    <cellStyle name="H_Déf_0.2 Organisation" xfId="370" xr:uid="{00000000-0005-0000-0000-00008F010000}"/>
    <cellStyle name="H_Déf_0.2 Organisation 2" xfId="371" xr:uid="{00000000-0005-0000-0000-000090010000}"/>
    <cellStyle name="H_Déf_0.2 Organisation_1 - Fiche descriptive" xfId="372" xr:uid="{00000000-0005-0000-0000-000091010000}"/>
    <cellStyle name="H_Déf_0.2 Organisation_5-Charges MO" xfId="373" xr:uid="{00000000-0005-0000-0000-000092010000}"/>
    <cellStyle name="H_Déf_0.2 Organisation_7 - Recommandations AQ" xfId="374" xr:uid="{00000000-0005-0000-0000-000093010000}"/>
    <cellStyle name="H_Déf_0.2 Organisation_99-2 Baseline Status (ECRs) (2)" xfId="375" xr:uid="{00000000-0005-0000-0000-000094010000}"/>
    <cellStyle name="H_Déf_0.2 Organisation_99-3 Formal IVV status (2)" xfId="376" xr:uid="{00000000-0005-0000-0000-000095010000}"/>
    <cellStyle name="H_Déf_0.2 Organisation_MAP-F-DAE-025-00-D" xfId="377" xr:uid="{00000000-0005-0000-0000-000096010000}"/>
    <cellStyle name="H_Déf_0.2 Organisation_MAP-F-DAE-025-00-D 2" xfId="378" xr:uid="{00000000-0005-0000-0000-000097010000}"/>
    <cellStyle name="H_Déf_0.2 Organisation_MAP-S76-AVS-2010-04.new-xls" xfId="379" xr:uid="{00000000-0005-0000-0000-000098010000}"/>
    <cellStyle name="H_Déf_0.2 Organisation_Nettoyage_fichier" xfId="380" xr:uid="{00000000-0005-0000-0000-000099010000}"/>
    <cellStyle name="H_Déf_0.2 Organisation_Nettoyage_fichier 2" xfId="381" xr:uid="{00000000-0005-0000-0000-00009A010000}"/>
    <cellStyle name="H_Déf_0.2 Organisation_TdB 30_04_2010 TASFR00580937AJ-1 THTH" xfId="382" xr:uid="{00000000-0005-0000-0000-00009B010000}"/>
    <cellStyle name="H_Déf_0.2 Organisation_tdb MAP CAM ATR42 NAV 08-00531-03" xfId="383" xr:uid="{00000000-0005-0000-0000-00009C010000}"/>
    <cellStyle name="H_Déf_0.2 Organisation_TdB-S76-CIS-2010-03 V38 Recup" xfId="384" xr:uid="{00000000-0005-0000-0000-00009D010000}"/>
    <cellStyle name="H_Déf_05 juin TDB" xfId="385" xr:uid="{00000000-0005-0000-0000-00009E010000}"/>
    <cellStyle name="H_Déf_05 juin TDB IR 00" xfId="386" xr:uid="{00000000-0005-0000-0000-00009F010000}"/>
    <cellStyle name="H_Déf_05 juin TDB IR 00_ATA_08_4098_DIS-TdB_MAS FSTA _sept_11_ind00" xfId="387" xr:uid="{00000000-0005-0000-0000-0000A0010000}"/>
    <cellStyle name="H_Déf_05 juin TDB_ATA_08_4098_DIS-TdB_MAS FSTA _sept_11_ind00" xfId="388" xr:uid="{00000000-0005-0000-0000-0000A1010000}"/>
    <cellStyle name="H_Déf_1.1 Faits Marquants" xfId="389" xr:uid="{00000000-0005-0000-0000-0000A2010000}"/>
    <cellStyle name="H_Déf_1.1 Faits Marquants 2" xfId="390" xr:uid="{00000000-0005-0000-0000-0000A3010000}"/>
    <cellStyle name="H_Déf_1.1 Faits Marquants_1" xfId="391" xr:uid="{00000000-0005-0000-0000-0000A4010000}"/>
    <cellStyle name="H_Déf_1.1 Faits Marquants_1 - Fiche descriptive" xfId="392" xr:uid="{00000000-0005-0000-0000-0000A5010000}"/>
    <cellStyle name="H_Déf_1.1 Faits Marquants_1 2" xfId="393" xr:uid="{00000000-0005-0000-0000-0000A6010000}"/>
    <cellStyle name="H_Déf_1.1 Faits Marquants_1 2 2" xfId="394" xr:uid="{00000000-0005-0000-0000-0000A7010000}"/>
    <cellStyle name="H_Déf_1.1 Faits Marquants_1_1 - Fiche descriptive" xfId="395" xr:uid="{00000000-0005-0000-0000-0000A8010000}"/>
    <cellStyle name="H_Déf_1.1 Faits Marquants_1_5-Charges MO" xfId="396" xr:uid="{00000000-0005-0000-0000-0000A9010000}"/>
    <cellStyle name="H_Déf_1.1 Faits Marquants_1_5-Charges MO 2" xfId="1186" xr:uid="{1AFACE3E-6744-475B-9C98-F5B2831CC8B1}"/>
    <cellStyle name="H_Déf_1.1 Faits Marquants_1_7 - Recommandations AQ" xfId="397" xr:uid="{00000000-0005-0000-0000-0000AA010000}"/>
    <cellStyle name="H_Déf_1.1 Faits Marquants_1_99-2 Baseline Status (ECRs) (2)" xfId="398" xr:uid="{00000000-0005-0000-0000-0000AB010000}"/>
    <cellStyle name="H_Déf_1.1 Faits Marquants_1_99-2 Baseline Status (ECRs) (2) 2" xfId="1187" xr:uid="{3B0B7D36-DBF4-43F4-9CC7-84F8E6DBBC3D}"/>
    <cellStyle name="H_Déf_1.1 Faits Marquants_1_99-3 Formal IVV status (2)" xfId="399" xr:uid="{00000000-0005-0000-0000-0000AC010000}"/>
    <cellStyle name="H_Déf_1.1 Faits Marquants_1_99-3 Formal IVV status (2) 2" xfId="1188" xr:uid="{B93076AC-B48D-4B6A-A064-04C62ADD5CB9}"/>
    <cellStyle name="H_Déf_1.1 Faits Marquants_1_MAP-F-DAE-025-00-D" xfId="400" xr:uid="{00000000-0005-0000-0000-0000AD010000}"/>
    <cellStyle name="H_Déf_1.1 Faits Marquants_1_MAP-F-DAE-025-00-D 2" xfId="401" xr:uid="{00000000-0005-0000-0000-0000AE010000}"/>
    <cellStyle name="H_Déf_1.1 Faits Marquants_1_MAP-F-DAE-025-00-D 2 2" xfId="402" xr:uid="{00000000-0005-0000-0000-0000AF010000}"/>
    <cellStyle name="H_Déf_1.1 Faits Marquants_1_MAP-S76-AVS-2010-04.new-xls" xfId="403" xr:uid="{00000000-0005-0000-0000-0000B0010000}"/>
    <cellStyle name="H_Déf_1.1 Faits Marquants_1_MAP-S76-AVS-2010-04.new-xls 2" xfId="1189" xr:uid="{9D0089AD-637D-468A-A95F-D1B380CE5CCE}"/>
    <cellStyle name="H_Déf_1.1 Faits Marquants_1_Nettoyage_fichier" xfId="404" xr:uid="{00000000-0005-0000-0000-0000B1010000}"/>
    <cellStyle name="H_Déf_1.1 Faits Marquants_1_Nettoyage_fichier 2" xfId="405" xr:uid="{00000000-0005-0000-0000-0000B2010000}"/>
    <cellStyle name="H_Déf_1.1 Faits Marquants_1_Nettoyage_fichier 2 2" xfId="406" xr:uid="{00000000-0005-0000-0000-0000B3010000}"/>
    <cellStyle name="H_Déf_1.1 Faits Marquants_1_TdB 30_04_2010 TASFR00580937AJ-1 THTH" xfId="407" xr:uid="{00000000-0005-0000-0000-0000B4010000}"/>
    <cellStyle name="H_Déf_1.1 Faits Marquants_1_TdB 30_04_2010 TASFR00580937AJ-1 THTH 2" xfId="408" xr:uid="{00000000-0005-0000-0000-0000B5010000}"/>
    <cellStyle name="H_Déf_1.1 Faits Marquants_1_tdb MAP CAM ATR42 NAV 08-00531-03" xfId="409" xr:uid="{00000000-0005-0000-0000-0000B6010000}"/>
    <cellStyle name="H_Déf_1.1 Faits Marquants_1_tdb MAP CAM ATR42 NAV 08-00531-03 2" xfId="1190" xr:uid="{2B4AFD2F-C5B4-4995-87F0-441E5B539DBB}"/>
    <cellStyle name="H_Déf_1.1 Faits Marquants_1_TdB-S76-CIS-2010-03 V38 Recup" xfId="410" xr:uid="{00000000-0005-0000-0000-0000B7010000}"/>
    <cellStyle name="H_Déf_1.1 Faits Marquants_1_TdB-S76-CIS-2010-03 V38 Recup 2" xfId="1191" xr:uid="{96A20B43-CD00-4EED-A42C-C175106B692D}"/>
    <cellStyle name="H_Déf_1.1 Faits Marquants_5-Charges MO" xfId="411" xr:uid="{00000000-0005-0000-0000-0000B8010000}"/>
    <cellStyle name="H_Déf_1.1 Faits Marquants_7 - Recommandations AQ" xfId="412" xr:uid="{00000000-0005-0000-0000-0000B9010000}"/>
    <cellStyle name="H_Déf_1.1 Faits Marquants_99-2 Baseline Status (ECRs) (2)" xfId="413" xr:uid="{00000000-0005-0000-0000-0000BA010000}"/>
    <cellStyle name="H_Déf_1.1 Faits Marquants_99-3 Formal IVV status (2)" xfId="414" xr:uid="{00000000-0005-0000-0000-0000BB010000}"/>
    <cellStyle name="H_Déf_1.1 Faits Marquants_MAP-F-DAE-025-00-D" xfId="415" xr:uid="{00000000-0005-0000-0000-0000BC010000}"/>
    <cellStyle name="H_Déf_1.1 Faits Marquants_MAP-F-DAE-025-00-D 2" xfId="416" xr:uid="{00000000-0005-0000-0000-0000BD010000}"/>
    <cellStyle name="H_Déf_1.1 Faits Marquants_MAP-S76-AVS-2010-04.new-xls" xfId="417" xr:uid="{00000000-0005-0000-0000-0000BE010000}"/>
    <cellStyle name="H_Déf_1.1 Faits Marquants_Nettoyage_fichier" xfId="418" xr:uid="{00000000-0005-0000-0000-0000BF010000}"/>
    <cellStyle name="H_Déf_1.1 Faits Marquants_Nettoyage_fichier 2" xfId="419" xr:uid="{00000000-0005-0000-0000-0000C0010000}"/>
    <cellStyle name="H_Déf_1.1 Faits Marquants_TdB 30_04_2010 TASFR00580937AJ-1 THTH" xfId="420" xr:uid="{00000000-0005-0000-0000-0000C1010000}"/>
    <cellStyle name="H_Déf_1.1 Faits Marquants_tdb MAP CAM ATR42 NAV 08-00531-03" xfId="421" xr:uid="{00000000-0005-0000-0000-0000C2010000}"/>
    <cellStyle name="H_Déf_1.1 Faits Marquants_TdB-S76-CIS-2010-03 V38 Recup" xfId="422" xr:uid="{00000000-0005-0000-0000-0000C3010000}"/>
    <cellStyle name="H_Déf_1.2 Decisions-Actions" xfId="423" xr:uid="{00000000-0005-0000-0000-0000C4010000}"/>
    <cellStyle name="H_Déf_1.2 Décisions-Actions" xfId="424" xr:uid="{00000000-0005-0000-0000-0000C5010000}"/>
    <cellStyle name="H_Déf_1.2 Décisions-Actions 2" xfId="425" xr:uid="{00000000-0005-0000-0000-0000C6010000}"/>
    <cellStyle name="H_Déf_1.2 Décisions-Actions 2 2" xfId="426" xr:uid="{00000000-0005-0000-0000-0000C7010000}"/>
    <cellStyle name="H_Déf_1.2 Décisions-Actions_1 - Fiche descriptive" xfId="427" xr:uid="{00000000-0005-0000-0000-0000C8010000}"/>
    <cellStyle name="H_Déf_1.2 Décisions-Actions_5-Charges MO" xfId="428" xr:uid="{00000000-0005-0000-0000-0000C9010000}"/>
    <cellStyle name="H_Déf_1.2 Décisions-Actions_5-Charges MO 2" xfId="1192" xr:uid="{250B8185-7BBA-4AE8-96DD-997CB83B3F36}"/>
    <cellStyle name="H_Déf_1.2 Décisions-Actions_7 - Recommandations AQ" xfId="429" xr:uid="{00000000-0005-0000-0000-0000CA010000}"/>
    <cellStyle name="H_Déf_1.2 Décisions-Actions_99-2 Baseline Status (ECRs) (2)" xfId="430" xr:uid="{00000000-0005-0000-0000-0000CB010000}"/>
    <cellStyle name="H_Déf_1.2 Décisions-Actions_99-2 Baseline Status (ECRs) (2) 2" xfId="1193" xr:uid="{E4E52B93-F775-4F29-A667-0FF7DCB1E1E2}"/>
    <cellStyle name="H_Déf_1.2 Décisions-Actions_99-3 Formal IVV status (2)" xfId="431" xr:uid="{00000000-0005-0000-0000-0000CC010000}"/>
    <cellStyle name="H_Déf_1.2 Décisions-Actions_99-3 Formal IVV status (2) 2" xfId="1194" xr:uid="{DEF223B9-A980-4BB8-A5EF-044AA460D7EE}"/>
    <cellStyle name="H_Déf_1.2 Décisions-Actions_MAP-F-DAE-025-00-D" xfId="432" xr:uid="{00000000-0005-0000-0000-0000CD010000}"/>
    <cellStyle name="H_Déf_1.2 Décisions-Actions_MAP-F-DAE-025-00-D 2" xfId="433" xr:uid="{00000000-0005-0000-0000-0000CE010000}"/>
    <cellStyle name="H_Déf_1.2 Décisions-Actions_MAP-F-DAE-025-00-D 2 2" xfId="434" xr:uid="{00000000-0005-0000-0000-0000CF010000}"/>
    <cellStyle name="H_Déf_1.2 Décisions-Actions_MAP-S76-AVS-2010-04.new-xls" xfId="435" xr:uid="{00000000-0005-0000-0000-0000D0010000}"/>
    <cellStyle name="H_Déf_1.2 Décisions-Actions_MAP-S76-AVS-2010-04.new-xls 2" xfId="1195" xr:uid="{921D5118-BC9E-4AF1-A466-AC1CBE191016}"/>
    <cellStyle name="H_Déf_1.2 Décisions-Actions_Nettoyage_fichier" xfId="436" xr:uid="{00000000-0005-0000-0000-0000D1010000}"/>
    <cellStyle name="H_Déf_1.2 Décisions-Actions_Nettoyage_fichier 2" xfId="437" xr:uid="{00000000-0005-0000-0000-0000D2010000}"/>
    <cellStyle name="H_Déf_1.2 Décisions-Actions_Nettoyage_fichier 2 2" xfId="438" xr:uid="{00000000-0005-0000-0000-0000D3010000}"/>
    <cellStyle name="H_Déf_1.2 Décisions-Actions_TdB 30_04_2010 TASFR00580937AJ-1 THTH" xfId="439" xr:uid="{00000000-0005-0000-0000-0000D4010000}"/>
    <cellStyle name="H_Déf_1.2 Décisions-Actions_TdB 30_04_2010 TASFR00580937AJ-1 THTH 2" xfId="440" xr:uid="{00000000-0005-0000-0000-0000D5010000}"/>
    <cellStyle name="H_Déf_1.2 Décisions-Actions_tdb MAP CAM ATR42 NAV 08-00531-03" xfId="441" xr:uid="{00000000-0005-0000-0000-0000D6010000}"/>
    <cellStyle name="H_Déf_1.2 Décisions-Actions_tdb MAP CAM ATR42 NAV 08-00531-03 2" xfId="1196" xr:uid="{81540837-2579-4B4B-B149-DA64838E064B}"/>
    <cellStyle name="H_Déf_1.2 Décisions-Actions_TdB-S76-CIS-2010-03 V38 Recup" xfId="442" xr:uid="{00000000-0005-0000-0000-0000D7010000}"/>
    <cellStyle name="H_Déf_1.2 Décisions-Actions_TdB-S76-CIS-2010-03 V38 Recup 2" xfId="1197" xr:uid="{67DEDD09-54CF-48A4-8E21-52BE588BF645}"/>
    <cellStyle name="H_Déf_1.3 Indicateur Satisfaction" xfId="443" xr:uid="{00000000-0005-0000-0000-0000D8010000}"/>
    <cellStyle name="H_Déf_1.3 Indicateur Satisfaction 2" xfId="444" xr:uid="{00000000-0005-0000-0000-0000D9010000}"/>
    <cellStyle name="H_Déf_1.3 Indicateur Satisfaction_1" xfId="445" xr:uid="{00000000-0005-0000-0000-0000DA010000}"/>
    <cellStyle name="H_Déf_1.3 Indicateur Satisfaction_1 - Fiche descriptive" xfId="446" xr:uid="{00000000-0005-0000-0000-0000DB010000}"/>
    <cellStyle name="H_Déf_1.3 Indicateur Satisfaction_1 2" xfId="447" xr:uid="{00000000-0005-0000-0000-0000DC010000}"/>
    <cellStyle name="H_Déf_1.3 Indicateur Satisfaction_1 2 2" xfId="448" xr:uid="{00000000-0005-0000-0000-0000DD010000}"/>
    <cellStyle name="H_Déf_1.3 Indicateur Satisfaction_1_1 - Fiche descriptive" xfId="449" xr:uid="{00000000-0005-0000-0000-0000DE010000}"/>
    <cellStyle name="H_Déf_1.3 Indicateur Satisfaction_1_5-Charges MO" xfId="450" xr:uid="{00000000-0005-0000-0000-0000DF010000}"/>
    <cellStyle name="H_Déf_1.3 Indicateur Satisfaction_1_5-Charges MO 2" xfId="1198" xr:uid="{5930258D-E5CE-4047-9D4F-8765797E1A39}"/>
    <cellStyle name="H_Déf_1.3 Indicateur Satisfaction_1_7 - Recommandations AQ" xfId="451" xr:uid="{00000000-0005-0000-0000-0000E0010000}"/>
    <cellStyle name="H_Déf_1.3 Indicateur Satisfaction_1_99-2 Baseline Status (ECRs) (2)" xfId="452" xr:uid="{00000000-0005-0000-0000-0000E1010000}"/>
    <cellStyle name="H_Déf_1.3 Indicateur Satisfaction_1_99-2 Baseline Status (ECRs) (2) 2" xfId="1199" xr:uid="{07082B10-4B17-426E-B918-2A0C55FF3BA4}"/>
    <cellStyle name="H_Déf_1.3 Indicateur Satisfaction_1_99-3 Formal IVV status (2)" xfId="453" xr:uid="{00000000-0005-0000-0000-0000E2010000}"/>
    <cellStyle name="H_Déf_1.3 Indicateur Satisfaction_1_99-3 Formal IVV status (2) 2" xfId="1200" xr:uid="{CB3F3FDC-4487-452E-86D4-E4761C4D124C}"/>
    <cellStyle name="H_Déf_1.3 Indicateur Satisfaction_1_MAP-F-DAE-025-00-D" xfId="454" xr:uid="{00000000-0005-0000-0000-0000E3010000}"/>
    <cellStyle name="H_Déf_1.3 Indicateur Satisfaction_1_MAP-F-DAE-025-00-D 2" xfId="455" xr:uid="{00000000-0005-0000-0000-0000E4010000}"/>
    <cellStyle name="H_Déf_1.3 Indicateur Satisfaction_1_MAP-F-DAE-025-00-D 2 2" xfId="456" xr:uid="{00000000-0005-0000-0000-0000E5010000}"/>
    <cellStyle name="H_Déf_1.3 Indicateur Satisfaction_1_MAP-S76-AVS-2010-04.new-xls" xfId="457" xr:uid="{00000000-0005-0000-0000-0000E6010000}"/>
    <cellStyle name="H_Déf_1.3 Indicateur Satisfaction_1_MAP-S76-AVS-2010-04.new-xls 2" xfId="1201" xr:uid="{03BC5DA9-C3A9-4D68-8126-45ED95CC66D7}"/>
    <cellStyle name="H_Déf_1.3 Indicateur Satisfaction_1_Nettoyage_fichier" xfId="458" xr:uid="{00000000-0005-0000-0000-0000E7010000}"/>
    <cellStyle name="H_Déf_1.3 Indicateur Satisfaction_1_Nettoyage_fichier 2" xfId="459" xr:uid="{00000000-0005-0000-0000-0000E8010000}"/>
    <cellStyle name="H_Déf_1.3 Indicateur Satisfaction_1_Nettoyage_fichier 2 2" xfId="460" xr:uid="{00000000-0005-0000-0000-0000E9010000}"/>
    <cellStyle name="H_Déf_1.3 Indicateur Satisfaction_1_TdB 30_04_2010 TASFR00580937AJ-1 THTH" xfId="461" xr:uid="{00000000-0005-0000-0000-0000EA010000}"/>
    <cellStyle name="H_Déf_1.3 Indicateur Satisfaction_1_TdB 30_04_2010 TASFR00580937AJ-1 THTH 2" xfId="462" xr:uid="{00000000-0005-0000-0000-0000EB010000}"/>
    <cellStyle name="H_Déf_1.3 Indicateur Satisfaction_1_tdb MAP CAM ATR42 NAV 08-00531-03" xfId="463" xr:uid="{00000000-0005-0000-0000-0000EC010000}"/>
    <cellStyle name="H_Déf_1.3 Indicateur Satisfaction_1_tdb MAP CAM ATR42 NAV 08-00531-03 2" xfId="1202" xr:uid="{AA5DD947-97F4-40D1-B33B-FD597D3BAA40}"/>
    <cellStyle name="H_Déf_1.3 Indicateur Satisfaction_1_TdB-S76-CIS-2010-03 V38 Recup" xfId="464" xr:uid="{00000000-0005-0000-0000-0000ED010000}"/>
    <cellStyle name="H_Déf_1.3 Indicateur Satisfaction_1_TdB-S76-CIS-2010-03 V38 Recup 2" xfId="1203" xr:uid="{289EF466-15C5-4465-A9C1-EC856144C275}"/>
    <cellStyle name="H_Déf_1.3 Indicateur Satisfaction_5-Charges MO" xfId="465" xr:uid="{00000000-0005-0000-0000-0000EE010000}"/>
    <cellStyle name="H_Déf_1.3 Indicateur Satisfaction_7 - Recommandations AQ" xfId="466" xr:uid="{00000000-0005-0000-0000-0000EF010000}"/>
    <cellStyle name="H_Déf_1.3 Indicateur Satisfaction_99-2 Baseline Status (ECRs) (2)" xfId="467" xr:uid="{00000000-0005-0000-0000-0000F0010000}"/>
    <cellStyle name="H_Déf_1.3 Indicateur Satisfaction_99-3 Formal IVV status (2)" xfId="468" xr:uid="{00000000-0005-0000-0000-0000F1010000}"/>
    <cellStyle name="H_Déf_1.3 Indicateur Satisfaction_MAP-F-DAE-025-00-D" xfId="469" xr:uid="{00000000-0005-0000-0000-0000F2010000}"/>
    <cellStyle name="H_Déf_1.3 Indicateur Satisfaction_MAP-F-DAE-025-00-D 2" xfId="470" xr:uid="{00000000-0005-0000-0000-0000F3010000}"/>
    <cellStyle name="H_Déf_1.3 Indicateur Satisfaction_MAP-S76-AVS-2010-04.new-xls" xfId="471" xr:uid="{00000000-0005-0000-0000-0000F4010000}"/>
    <cellStyle name="H_Déf_1.3 Indicateur Satisfaction_Nettoyage_fichier" xfId="472" xr:uid="{00000000-0005-0000-0000-0000F5010000}"/>
    <cellStyle name="H_Déf_1.3 Indicateur Satisfaction_Nettoyage_fichier 2" xfId="473" xr:uid="{00000000-0005-0000-0000-0000F6010000}"/>
    <cellStyle name="H_Déf_1.3 Indicateur Satisfaction_TdB 30_04_2010 TASFR00580937AJ-1 THTH" xfId="474" xr:uid="{00000000-0005-0000-0000-0000F7010000}"/>
    <cellStyle name="H_Déf_1.3 Indicateur Satisfaction_tdb MAP CAM ATR42 NAV 08-00531-03" xfId="475" xr:uid="{00000000-0005-0000-0000-0000F8010000}"/>
    <cellStyle name="H_Déf_1.3 Indicateur Satisfaction_TdB-S76-CIS-2010-03 V38 Recup" xfId="476" xr:uid="{00000000-0005-0000-0000-0000F9010000}"/>
    <cellStyle name="H_Déf_2.2 Jalons (Courbe à 45°)" xfId="477" xr:uid="{00000000-0005-0000-0000-0000FA010000}"/>
    <cellStyle name="H_Déf_2.2 Jalons (Courbe à 45°)_1" xfId="478" xr:uid="{00000000-0005-0000-0000-0000FB010000}"/>
    <cellStyle name="H_Déf_2.2 Jalons (Courbe à 45°)_1 2" xfId="479" xr:uid="{00000000-0005-0000-0000-0000FC010000}"/>
    <cellStyle name="H_Déf_2.2 Jalons (Courbe à 45°)_1_1 - Fiche descriptive" xfId="480" xr:uid="{00000000-0005-0000-0000-0000FD010000}"/>
    <cellStyle name="H_Déf_2.2 Jalons (Courbe à 45°)_1_5-Charges MO" xfId="481" xr:uid="{00000000-0005-0000-0000-0000FE010000}"/>
    <cellStyle name="H_Déf_2.2 Jalons (Courbe à 45°)_1_7 - Recommandations AQ" xfId="482" xr:uid="{00000000-0005-0000-0000-0000FF010000}"/>
    <cellStyle name="H_Déf_2.2 Jalons (Courbe à 45°)_1_99-2 Baseline Status (ECRs) (2)" xfId="483" xr:uid="{00000000-0005-0000-0000-000000020000}"/>
    <cellStyle name="H_Déf_2.2 Jalons (Courbe à 45°)_1_99-3 Formal IVV status (2)" xfId="484" xr:uid="{00000000-0005-0000-0000-000001020000}"/>
    <cellStyle name="H_Déf_2.2 Jalons (Courbe à 45°)_1_MAP-F-DAE-025-00-D" xfId="485" xr:uid="{00000000-0005-0000-0000-000002020000}"/>
    <cellStyle name="H_Déf_2.2 Jalons (Courbe à 45°)_1_MAP-F-DAE-025-00-D 2" xfId="486" xr:uid="{00000000-0005-0000-0000-000003020000}"/>
    <cellStyle name="H_Déf_2.2 Jalons (Courbe à 45°)_1_MAP-S76-AVS-2010-04.new-xls" xfId="487" xr:uid="{00000000-0005-0000-0000-000004020000}"/>
    <cellStyle name="H_Déf_2.2 Jalons (Courbe à 45°)_1_Nettoyage_fichier" xfId="488" xr:uid="{00000000-0005-0000-0000-000005020000}"/>
    <cellStyle name="H_Déf_2.2 Jalons (Courbe à 45°)_1_Nettoyage_fichier 2" xfId="489" xr:uid="{00000000-0005-0000-0000-000006020000}"/>
    <cellStyle name="H_Déf_2.2 Jalons (Courbe à 45°)_1_TdB 30_04_2010 TASFR00580937AJ-1 THTH" xfId="490" xr:uid="{00000000-0005-0000-0000-000007020000}"/>
    <cellStyle name="H_Déf_2.2 Jalons (Courbe à 45°)_1_tdb MAP CAM ATR42 NAV 08-00531-03" xfId="491" xr:uid="{00000000-0005-0000-0000-000008020000}"/>
    <cellStyle name="H_Déf_2.2 Jalons (Courbe à 45°)_1_TdB-S76-CIS-2010-03 V38 Recup" xfId="492" xr:uid="{00000000-0005-0000-0000-000009020000}"/>
    <cellStyle name="H_Déf_2.2 Jalons (Courbe à 45°)_2" xfId="493" xr:uid="{00000000-0005-0000-0000-00000A020000}"/>
    <cellStyle name="H_Déf_2.2 Jalons (Courbe à 45°)_2 2" xfId="494" xr:uid="{00000000-0005-0000-0000-00000B020000}"/>
    <cellStyle name="H_Déf_2.2 Jalons (Courbe à 45°)_2 2 2" xfId="495" xr:uid="{00000000-0005-0000-0000-00000C020000}"/>
    <cellStyle name="H_Déf_2.2 Jalons (Courbe à 45°)_2_1 - Fiche descriptive" xfId="496" xr:uid="{00000000-0005-0000-0000-00000D020000}"/>
    <cellStyle name="H_Déf_2.2 Jalons (Courbe à 45°)_2_5-Charges MO" xfId="497" xr:uid="{00000000-0005-0000-0000-00000E020000}"/>
    <cellStyle name="H_Déf_2.2 Jalons (Courbe à 45°)_2_5-Charges MO 2" xfId="1204" xr:uid="{91AEDF72-A791-401E-9797-F02AA4B0694A}"/>
    <cellStyle name="H_Déf_2.2 Jalons (Courbe à 45°)_2_7 - Recommandations AQ" xfId="498" xr:uid="{00000000-0005-0000-0000-00000F020000}"/>
    <cellStyle name="H_Déf_2.2 Jalons (Courbe à 45°)_2_99-2 Baseline Status (ECRs) (2)" xfId="499" xr:uid="{00000000-0005-0000-0000-000010020000}"/>
    <cellStyle name="H_Déf_2.2 Jalons (Courbe à 45°)_2_99-2 Baseline Status (ECRs) (2) 2" xfId="1205" xr:uid="{590D7DFC-684A-4BE4-80C6-A0FF81797FD6}"/>
    <cellStyle name="H_Déf_2.2 Jalons (Courbe à 45°)_2_99-3 Formal IVV status (2)" xfId="500" xr:uid="{00000000-0005-0000-0000-000011020000}"/>
    <cellStyle name="H_Déf_2.2 Jalons (Courbe à 45°)_2_99-3 Formal IVV status (2) 2" xfId="1206" xr:uid="{EDEC88BD-2DB2-41A0-9837-BEE7CC0B1F6C}"/>
    <cellStyle name="H_Déf_2.2 Jalons (Courbe à 45°)_2_MAP-F-DAE-025-00-D" xfId="501" xr:uid="{00000000-0005-0000-0000-000012020000}"/>
    <cellStyle name="H_Déf_2.2 Jalons (Courbe à 45°)_2_MAP-F-DAE-025-00-D 2" xfId="502" xr:uid="{00000000-0005-0000-0000-000013020000}"/>
    <cellStyle name="H_Déf_2.2 Jalons (Courbe à 45°)_2_MAP-F-DAE-025-00-D 2 2" xfId="503" xr:uid="{00000000-0005-0000-0000-000014020000}"/>
    <cellStyle name="H_Déf_2.2 Jalons (Courbe à 45°)_2_MAP-S76-AVS-2010-04.new-xls" xfId="504" xr:uid="{00000000-0005-0000-0000-000015020000}"/>
    <cellStyle name="H_Déf_2.2 Jalons (Courbe à 45°)_2_MAP-S76-AVS-2010-04.new-xls 2" xfId="1207" xr:uid="{BEC80FEC-A988-4401-9470-EAE8D02437C5}"/>
    <cellStyle name="H_Déf_2.2 Jalons (Courbe à 45°)_2_Nettoyage_fichier" xfId="505" xr:uid="{00000000-0005-0000-0000-000016020000}"/>
    <cellStyle name="H_Déf_2.2 Jalons (Courbe à 45°)_2_Nettoyage_fichier 2" xfId="506" xr:uid="{00000000-0005-0000-0000-000017020000}"/>
    <cellStyle name="H_Déf_2.2 Jalons (Courbe à 45°)_2_Nettoyage_fichier 2 2" xfId="507" xr:uid="{00000000-0005-0000-0000-000018020000}"/>
    <cellStyle name="H_Déf_2.2 Jalons (Courbe à 45°)_2_TdB 30_04_2010 TASFR00580937AJ-1 THTH" xfId="508" xr:uid="{00000000-0005-0000-0000-000019020000}"/>
    <cellStyle name="H_Déf_2.2 Jalons (Courbe à 45°)_2_TdB 30_04_2010 TASFR00580937AJ-1 THTH 2" xfId="509" xr:uid="{00000000-0005-0000-0000-00001A020000}"/>
    <cellStyle name="H_Déf_2.2 Jalons (Courbe à 45°)_2_tdb MAP CAM ATR42 NAV 08-00531-03" xfId="510" xr:uid="{00000000-0005-0000-0000-00001B020000}"/>
    <cellStyle name="H_Déf_2.2 Jalons (Courbe à 45°)_2_tdb MAP CAM ATR42 NAV 08-00531-03 2" xfId="1208" xr:uid="{4F012A47-91E8-45C6-872A-46D2B7C35AA0}"/>
    <cellStyle name="H_Déf_2.2 Jalons (Courbe à 45°)_2_TdB-S76-CIS-2010-03 V38 Recup" xfId="511" xr:uid="{00000000-0005-0000-0000-00001C020000}"/>
    <cellStyle name="H_Déf_2.2 Jalons (Courbe à 45°)_2_TdB-S76-CIS-2010-03 V38 Recup 2" xfId="1209" xr:uid="{D04FBAA6-4BF7-4A17-B779-3602FCEE5FC4}"/>
    <cellStyle name="H_Déf_2.2 Jalons (Courbe à 45°)_8.1 COP-CEP" xfId="512" xr:uid="{00000000-0005-0000-0000-00001D020000}"/>
    <cellStyle name="H_Déf_2.2 Jalons (Courbe à 45°)_8.1 COP-CEP 2" xfId="513" xr:uid="{00000000-0005-0000-0000-00001E020000}"/>
    <cellStyle name="H_Déf_2.2 Jalons (Courbe à 45°)_8.1 COP-CEP_1 - Fiche descriptive" xfId="514" xr:uid="{00000000-0005-0000-0000-00001F020000}"/>
    <cellStyle name="H_Déf_2.2 Jalons (Courbe à 45°)_8.1 COP-CEP_5-Charges MO" xfId="515" xr:uid="{00000000-0005-0000-0000-000020020000}"/>
    <cellStyle name="H_Déf_2.2 Jalons (Courbe à 45°)_8.1 COP-CEP_7 - Recommandations AQ" xfId="516" xr:uid="{00000000-0005-0000-0000-000021020000}"/>
    <cellStyle name="H_Déf_2.2 Jalons (Courbe à 45°)_8.1 COP-CEP_99-2 Baseline Status (ECRs) (2)" xfId="517" xr:uid="{00000000-0005-0000-0000-000022020000}"/>
    <cellStyle name="H_Déf_2.2 Jalons (Courbe à 45°)_8.1 COP-CEP_99-3 Formal IVV status (2)" xfId="518" xr:uid="{00000000-0005-0000-0000-000023020000}"/>
    <cellStyle name="H_Déf_2.2 Jalons (Courbe à 45°)_8.1 COP-CEP_MAP-F-DAE-025-00-D" xfId="519" xr:uid="{00000000-0005-0000-0000-000024020000}"/>
    <cellStyle name="H_Déf_2.2 Jalons (Courbe à 45°)_8.1 COP-CEP_MAP-F-DAE-025-00-D 2" xfId="520" xr:uid="{00000000-0005-0000-0000-000025020000}"/>
    <cellStyle name="H_Déf_2.2 Jalons (Courbe à 45°)_8.1 COP-CEP_MAP-S76-AVS-2010-04.new-xls" xfId="521" xr:uid="{00000000-0005-0000-0000-000026020000}"/>
    <cellStyle name="H_Déf_2.2 Jalons (Courbe à 45°)_8.1 COP-CEP_Nettoyage_fichier" xfId="522" xr:uid="{00000000-0005-0000-0000-000027020000}"/>
    <cellStyle name="H_Déf_2.2 Jalons (Courbe à 45°)_8.1 COP-CEP_Nettoyage_fichier 2" xfId="523" xr:uid="{00000000-0005-0000-0000-000028020000}"/>
    <cellStyle name="H_Déf_2.2 Jalons (Courbe à 45°)_8.1 COP-CEP_TdB 30_04_2010 TASFR00580937AJ-1 THTH" xfId="524" xr:uid="{00000000-0005-0000-0000-000029020000}"/>
    <cellStyle name="H_Déf_2.2 Jalons (Courbe à 45°)_8.1 COP-CEP_tdb MAP CAM ATR42 NAV 08-00531-03" xfId="525" xr:uid="{00000000-0005-0000-0000-00002A020000}"/>
    <cellStyle name="H_Déf_2.2 Jalons (Courbe à 45°)_8.1 COP-CEP_TdB-S76-CIS-2010-03 V38 Recup" xfId="526" xr:uid="{00000000-0005-0000-0000-00002B020000}"/>
    <cellStyle name="H_Déf_2.5 Contrat" xfId="527" xr:uid="{00000000-0005-0000-0000-00002C020000}"/>
    <cellStyle name="H_Déf_2.5 Contrat 2" xfId="528" xr:uid="{00000000-0005-0000-0000-00002D020000}"/>
    <cellStyle name="H_Déf_2.5 Contrat 2 2" xfId="529" xr:uid="{00000000-0005-0000-0000-00002E020000}"/>
    <cellStyle name="H_Déf_2.5 Contrat_1 - Fiche descriptive" xfId="530" xr:uid="{00000000-0005-0000-0000-00002F020000}"/>
    <cellStyle name="H_Déf_2.5 Contrat_5-Charges MO" xfId="531" xr:uid="{00000000-0005-0000-0000-000030020000}"/>
    <cellStyle name="H_Déf_2.5 Contrat_5-Charges MO 2" xfId="1210" xr:uid="{6AD3E9E4-7C4C-4B55-8851-5191F91283AB}"/>
    <cellStyle name="H_Déf_2.5 Contrat_7 - Recommandations AQ" xfId="532" xr:uid="{00000000-0005-0000-0000-000031020000}"/>
    <cellStyle name="H_Déf_2.5 Contrat_99-2 Baseline Status (ECRs) (2)" xfId="533" xr:uid="{00000000-0005-0000-0000-000032020000}"/>
    <cellStyle name="H_Déf_2.5 Contrat_99-2 Baseline Status (ECRs) (2) 2" xfId="1211" xr:uid="{77E46FA7-D8E6-403E-AFED-C224B20A93BB}"/>
    <cellStyle name="H_Déf_2.5 Contrat_99-3 Formal IVV status (2)" xfId="534" xr:uid="{00000000-0005-0000-0000-000033020000}"/>
    <cellStyle name="H_Déf_2.5 Contrat_99-3 Formal IVV status (2) 2" xfId="1212" xr:uid="{EC2A8F85-18E3-4F66-8E1C-0F4D7A76A0B5}"/>
    <cellStyle name="H_Déf_2.5 Contrat_MAP-F-DAE-025-00-D" xfId="535" xr:uid="{00000000-0005-0000-0000-000034020000}"/>
    <cellStyle name="H_Déf_2.5 Contrat_MAP-F-DAE-025-00-D 2" xfId="536" xr:uid="{00000000-0005-0000-0000-000035020000}"/>
    <cellStyle name="H_Déf_2.5 Contrat_MAP-F-DAE-025-00-D 2 2" xfId="537" xr:uid="{00000000-0005-0000-0000-000036020000}"/>
    <cellStyle name="H_Déf_2.5 Contrat_MAP-S76-AVS-2010-04.new-xls" xfId="538" xr:uid="{00000000-0005-0000-0000-000037020000}"/>
    <cellStyle name="H_Déf_2.5 Contrat_MAP-S76-AVS-2010-04.new-xls 2" xfId="1213" xr:uid="{8548C604-B2BA-4337-984D-E2479E9B8A38}"/>
    <cellStyle name="H_Déf_2.5 Contrat_Nettoyage_fichier" xfId="539" xr:uid="{00000000-0005-0000-0000-000038020000}"/>
    <cellStyle name="H_Déf_2.5 Contrat_Nettoyage_fichier 2" xfId="540" xr:uid="{00000000-0005-0000-0000-000039020000}"/>
    <cellStyle name="H_Déf_2.5 Contrat_Nettoyage_fichier 2 2" xfId="541" xr:uid="{00000000-0005-0000-0000-00003A020000}"/>
    <cellStyle name="H_Déf_2.5 Contrat_TdB 30_04_2010 TASFR00580937AJ-1 THTH" xfId="542" xr:uid="{00000000-0005-0000-0000-00003B020000}"/>
    <cellStyle name="H_Déf_2.5 Contrat_TdB 30_04_2010 TASFR00580937AJ-1 THTH 2" xfId="543" xr:uid="{00000000-0005-0000-0000-00003C020000}"/>
    <cellStyle name="H_Déf_2.5 Contrat_tdb MAP CAM ATR42 NAV 08-00531-03" xfId="544" xr:uid="{00000000-0005-0000-0000-00003D020000}"/>
    <cellStyle name="H_Déf_2.5 Contrat_tdb MAP CAM ATR42 NAV 08-00531-03 2" xfId="1214" xr:uid="{BF9AE55F-0DD3-4922-8044-1E17BC4488D0}"/>
    <cellStyle name="H_Déf_2.5 Contrat_TdB-S76-CIS-2010-03 V38 Recup" xfId="545" xr:uid="{00000000-0005-0000-0000-00003E020000}"/>
    <cellStyle name="H_Déf_2.5 Contrat_TdB-S76-CIS-2010-03 V38 Recup 2" xfId="1215" xr:uid="{6C5B4BC8-854B-473A-9CB4-62DBB2A80F0B}"/>
    <cellStyle name="H_Déf_2.6 Cust_Internal dependancies" xfId="546" xr:uid="{00000000-0005-0000-0000-00003F020000}"/>
    <cellStyle name="H_Déf_2.6 Obligations Client" xfId="547" xr:uid="{00000000-0005-0000-0000-000040020000}"/>
    <cellStyle name="H_Déf_2.6 Obligations Client 2" xfId="548" xr:uid="{00000000-0005-0000-0000-000041020000}"/>
    <cellStyle name="H_Déf_2.6 Obligations Client 2 2" xfId="549" xr:uid="{00000000-0005-0000-0000-000042020000}"/>
    <cellStyle name="H_Déf_2.6 Obligations Client_1 - Fiche descriptive" xfId="550" xr:uid="{00000000-0005-0000-0000-000043020000}"/>
    <cellStyle name="H_Déf_2.6 Obligations Client_5-Charges MO" xfId="551" xr:uid="{00000000-0005-0000-0000-000044020000}"/>
    <cellStyle name="H_Déf_2.6 Obligations Client_5-Charges MO 2" xfId="1216" xr:uid="{6E8FD57E-01C6-498B-AD55-240FA6638B9C}"/>
    <cellStyle name="H_Déf_2.6 Obligations Client_7 - Recommandations AQ" xfId="552" xr:uid="{00000000-0005-0000-0000-000045020000}"/>
    <cellStyle name="H_Déf_2.6 Obligations Client_99-2 Baseline Status (ECRs) (2)" xfId="553" xr:uid="{00000000-0005-0000-0000-000046020000}"/>
    <cellStyle name="H_Déf_2.6 Obligations Client_99-2 Baseline Status (ECRs) (2) 2" xfId="1217" xr:uid="{15A8CCD5-0B65-4742-A405-F28247561324}"/>
    <cellStyle name="H_Déf_2.6 Obligations Client_99-3 Formal IVV status (2)" xfId="554" xr:uid="{00000000-0005-0000-0000-000047020000}"/>
    <cellStyle name="H_Déf_2.6 Obligations Client_99-3 Formal IVV status (2) 2" xfId="1218" xr:uid="{451A1225-61D6-4E30-A573-978C61D4424D}"/>
    <cellStyle name="H_Déf_2.6 Obligations Client_MAP-F-DAE-025-00-D" xfId="555" xr:uid="{00000000-0005-0000-0000-000048020000}"/>
    <cellStyle name="H_Déf_2.6 Obligations Client_MAP-F-DAE-025-00-D 2" xfId="556" xr:uid="{00000000-0005-0000-0000-000049020000}"/>
    <cellStyle name="H_Déf_2.6 Obligations Client_MAP-F-DAE-025-00-D 2 2" xfId="557" xr:uid="{00000000-0005-0000-0000-00004A020000}"/>
    <cellStyle name="H_Déf_2.6 Obligations Client_MAP-S76-AVS-2010-04.new-xls" xfId="558" xr:uid="{00000000-0005-0000-0000-00004B020000}"/>
    <cellStyle name="H_Déf_2.6 Obligations Client_MAP-S76-AVS-2010-04.new-xls 2" xfId="1219" xr:uid="{4A20A012-8DE7-4C55-A397-E9738D8110C4}"/>
    <cellStyle name="H_Déf_2.6 Obligations Client_Nettoyage_fichier" xfId="559" xr:uid="{00000000-0005-0000-0000-00004C020000}"/>
    <cellStyle name="H_Déf_2.6 Obligations Client_Nettoyage_fichier 2" xfId="560" xr:uid="{00000000-0005-0000-0000-00004D020000}"/>
    <cellStyle name="H_Déf_2.6 Obligations Client_Nettoyage_fichier 2 2" xfId="561" xr:uid="{00000000-0005-0000-0000-00004E020000}"/>
    <cellStyle name="H_Déf_2.6 Obligations Client_TdB 30_04_2010 TASFR00580937AJ-1 THTH" xfId="562" xr:uid="{00000000-0005-0000-0000-00004F020000}"/>
    <cellStyle name="H_Déf_2.6 Obligations Client_TdB 30_04_2010 TASFR00580937AJ-1 THTH 2" xfId="563" xr:uid="{00000000-0005-0000-0000-000050020000}"/>
    <cellStyle name="H_Déf_2.6 Obligations Client_tdb MAP CAM ATR42 NAV 08-00531-03" xfId="564" xr:uid="{00000000-0005-0000-0000-000051020000}"/>
    <cellStyle name="H_Déf_2.6 Obligations Client_tdb MAP CAM ATR42 NAV 08-00531-03 2" xfId="1220" xr:uid="{F2DC8BE4-4975-41A3-B448-81816D036FDE}"/>
    <cellStyle name="H_Déf_2.6 Obligations Client_TdB-S76-CIS-2010-03 V38 Recup" xfId="565" xr:uid="{00000000-0005-0000-0000-000052020000}"/>
    <cellStyle name="H_Déf_2.6 Obligations Client_TdB-S76-CIS-2010-03 V38 Recup 2" xfId="1221" xr:uid="{06355373-08B9-4AC6-844F-2EBF8C165CAE}"/>
    <cellStyle name="H_Déf_2.7 Change Request" xfId="566" xr:uid="{00000000-0005-0000-0000-000053020000}"/>
    <cellStyle name="H_Déf_2.7 Change Request 2" xfId="567" xr:uid="{00000000-0005-0000-0000-000054020000}"/>
    <cellStyle name="H_Déf_2.7 Change Request 2 2" xfId="568" xr:uid="{00000000-0005-0000-0000-000055020000}"/>
    <cellStyle name="H_Déf_2.7 Change Request_1 - Fiche descriptive" xfId="569" xr:uid="{00000000-0005-0000-0000-000056020000}"/>
    <cellStyle name="H_Déf_2.7 Change Request_5-Charges MO" xfId="570" xr:uid="{00000000-0005-0000-0000-000057020000}"/>
    <cellStyle name="H_Déf_2.7 Change Request_5-Charges MO 2" xfId="1222" xr:uid="{96900606-B00E-48BB-90D4-229BB1E59A54}"/>
    <cellStyle name="H_Déf_2.7 Change Request_7 - Recommandations AQ" xfId="571" xr:uid="{00000000-0005-0000-0000-000058020000}"/>
    <cellStyle name="H_Déf_2.7 Change Request_99-2 Baseline Status (ECRs) (2)" xfId="572" xr:uid="{00000000-0005-0000-0000-000059020000}"/>
    <cellStyle name="H_Déf_2.7 Change Request_99-2 Baseline Status (ECRs) (2) 2" xfId="1223" xr:uid="{C00E6460-0059-4C62-9538-1FCD1F3EA07B}"/>
    <cellStyle name="H_Déf_2.7 Change Request_99-3 Formal IVV status (2)" xfId="573" xr:uid="{00000000-0005-0000-0000-00005A020000}"/>
    <cellStyle name="H_Déf_2.7 Change Request_99-3 Formal IVV status (2) 2" xfId="1224" xr:uid="{96F03F06-D104-4EF7-B1F8-96DA6D25B2BC}"/>
    <cellStyle name="H_Déf_2.7 Change Request_MAP-F-DAE-025-00-D" xfId="574" xr:uid="{00000000-0005-0000-0000-00005B020000}"/>
    <cellStyle name="H_Déf_2.7 Change Request_MAP-F-DAE-025-00-D 2" xfId="575" xr:uid="{00000000-0005-0000-0000-00005C020000}"/>
    <cellStyle name="H_Déf_2.7 Change Request_MAP-F-DAE-025-00-D 2 2" xfId="576" xr:uid="{00000000-0005-0000-0000-00005D020000}"/>
    <cellStyle name="H_Déf_2.7 Change Request_MAP-S76-AVS-2010-04.new-xls" xfId="577" xr:uid="{00000000-0005-0000-0000-00005E020000}"/>
    <cellStyle name="H_Déf_2.7 Change Request_MAP-S76-AVS-2010-04.new-xls 2" xfId="1225" xr:uid="{F2C66550-60BC-4E8E-8BA3-93994828C7C9}"/>
    <cellStyle name="H_Déf_2.7 Change Request_Nettoyage_fichier" xfId="578" xr:uid="{00000000-0005-0000-0000-00005F020000}"/>
    <cellStyle name="H_Déf_2.7 Change Request_Nettoyage_fichier 2" xfId="579" xr:uid="{00000000-0005-0000-0000-000060020000}"/>
    <cellStyle name="H_Déf_2.7 Change Request_Nettoyage_fichier 2 2" xfId="580" xr:uid="{00000000-0005-0000-0000-000061020000}"/>
    <cellStyle name="H_Déf_2.7 Change Request_TdB 30_04_2010 TASFR00580937AJ-1 THTH" xfId="581" xr:uid="{00000000-0005-0000-0000-000062020000}"/>
    <cellStyle name="H_Déf_2.7 Change Request_TdB 30_04_2010 TASFR00580937AJ-1 THTH 2" xfId="582" xr:uid="{00000000-0005-0000-0000-000063020000}"/>
    <cellStyle name="H_Déf_2.7 Change Request_tdb MAP CAM ATR42 NAV 08-00531-03" xfId="583" xr:uid="{00000000-0005-0000-0000-000064020000}"/>
    <cellStyle name="H_Déf_2.7 Change Request_tdb MAP CAM ATR42 NAV 08-00531-03 2" xfId="1226" xr:uid="{7D9FD6AA-150D-475C-8308-45030A64BC4F}"/>
    <cellStyle name="H_Déf_2.7 Change Request_TdB-S76-CIS-2010-03 V38 Recup" xfId="584" xr:uid="{00000000-0005-0000-0000-000065020000}"/>
    <cellStyle name="H_Déf_2.7 Change Request_TdB-S76-CIS-2010-03 V38 Recup 2" xfId="1227" xr:uid="{F87CEE0A-7BFA-4859-8201-7114F67C8373}"/>
    <cellStyle name="H_Déf_2007_11_DOR_DRAAMA éd2" xfId="585" xr:uid="{00000000-0005-0000-0000-000066020000}"/>
    <cellStyle name="H_Déf_20080619_Gripen_DOR_TASFR00591390-E" xfId="586" xr:uid="{00000000-0005-0000-0000-000067020000}"/>
    <cellStyle name="H_Déf_3.1 Risks" xfId="587" xr:uid="{00000000-0005-0000-0000-000068020000}"/>
    <cellStyle name="H_Déf_3.1 Risques" xfId="588" xr:uid="{00000000-0005-0000-0000-000069020000}"/>
    <cellStyle name="H_Déf_3.1 Risques 2" xfId="589" xr:uid="{00000000-0005-0000-0000-00006A020000}"/>
    <cellStyle name="H_Déf_3.1 Risques 2 2" xfId="590" xr:uid="{00000000-0005-0000-0000-00006B020000}"/>
    <cellStyle name="H_Déf_3.1 Risques_1 - Fiche descriptive" xfId="591" xr:uid="{00000000-0005-0000-0000-00006C020000}"/>
    <cellStyle name="H_Déf_3.1 Risques_5-Charges MO" xfId="592" xr:uid="{00000000-0005-0000-0000-00006D020000}"/>
    <cellStyle name="H_Déf_3.1 Risques_5-Charges MO 2" xfId="1228" xr:uid="{CD2EAD70-89ED-41C8-AB0C-659B2E40D5CC}"/>
    <cellStyle name="H_Déf_3.1 Risques_7 - Recommandations AQ" xfId="593" xr:uid="{00000000-0005-0000-0000-00006E020000}"/>
    <cellStyle name="H_Déf_3.1 Risques_99-2 Baseline Status (ECRs) (2)" xfId="594" xr:uid="{00000000-0005-0000-0000-00006F020000}"/>
    <cellStyle name="H_Déf_3.1 Risques_99-2 Baseline Status (ECRs) (2) 2" xfId="1229" xr:uid="{D21AE9FF-C7EC-4C13-946F-57E4650E4238}"/>
    <cellStyle name="H_Déf_3.1 Risques_99-3 Formal IVV status (2)" xfId="595" xr:uid="{00000000-0005-0000-0000-000070020000}"/>
    <cellStyle name="H_Déf_3.1 Risques_99-3 Formal IVV status (2) 2" xfId="1230" xr:uid="{E34BD512-4CC1-47E0-9FDB-9E04DBE77ACB}"/>
    <cellStyle name="H_Déf_3.1 Risques_MAP-F-DAE-025-00-D" xfId="596" xr:uid="{00000000-0005-0000-0000-000071020000}"/>
    <cellStyle name="H_Déf_3.1 Risques_MAP-F-DAE-025-00-D 2" xfId="597" xr:uid="{00000000-0005-0000-0000-000072020000}"/>
    <cellStyle name="H_Déf_3.1 Risques_MAP-F-DAE-025-00-D 2 2" xfId="598" xr:uid="{00000000-0005-0000-0000-000073020000}"/>
    <cellStyle name="H_Déf_3.1 Risques_MAP-S76-AVS-2010-04.new-xls" xfId="599" xr:uid="{00000000-0005-0000-0000-000074020000}"/>
    <cellStyle name="H_Déf_3.1 Risques_MAP-S76-AVS-2010-04.new-xls 2" xfId="1231" xr:uid="{64BA9580-E68D-4036-83FF-49F17D60CA87}"/>
    <cellStyle name="H_Déf_3.1 Risques_Nettoyage_fichier" xfId="600" xr:uid="{00000000-0005-0000-0000-000075020000}"/>
    <cellStyle name="H_Déf_3.1 Risques_Nettoyage_fichier 2" xfId="601" xr:uid="{00000000-0005-0000-0000-000076020000}"/>
    <cellStyle name="H_Déf_3.1 Risques_Nettoyage_fichier 2 2" xfId="602" xr:uid="{00000000-0005-0000-0000-000077020000}"/>
    <cellStyle name="H_Déf_3.1 Risques_TdB 30_04_2010 TASFR00580937AJ-1 THTH" xfId="603" xr:uid="{00000000-0005-0000-0000-000078020000}"/>
    <cellStyle name="H_Déf_3.1 Risques_TdB 30_04_2010 TASFR00580937AJ-1 THTH 2" xfId="604" xr:uid="{00000000-0005-0000-0000-000079020000}"/>
    <cellStyle name="H_Déf_3.1 Risques_tdb MAP CAM ATR42 NAV 08-00531-03" xfId="605" xr:uid="{00000000-0005-0000-0000-00007A020000}"/>
    <cellStyle name="H_Déf_3.1 Risques_tdb MAP CAM ATR42 NAV 08-00531-03 2" xfId="1232" xr:uid="{6B49873F-5D4F-4DED-A256-BF037DD01533}"/>
    <cellStyle name="H_Déf_3.1 Risques_TdB-S76-CIS-2010-03 V38 Recup" xfId="606" xr:uid="{00000000-0005-0000-0000-00007B020000}"/>
    <cellStyle name="H_Déf_3.1 Risques_TdB-S76-CIS-2010-03 V38 Recup 2" xfId="1233" xr:uid="{A5CA7BBD-8D73-4D8A-8C8F-A79FE680FC94}"/>
    <cellStyle name="H_Déf_3.2 Opportunités" xfId="607" xr:uid="{00000000-0005-0000-0000-00007C020000}"/>
    <cellStyle name="H_Déf_3.2 Opportunités 2" xfId="608" xr:uid="{00000000-0005-0000-0000-00007D020000}"/>
    <cellStyle name="H_Déf_3.2 Opportunités 2 2" xfId="609" xr:uid="{00000000-0005-0000-0000-00007E020000}"/>
    <cellStyle name="H_Déf_3.2 Opportunités_1 - Fiche descriptive" xfId="610" xr:uid="{00000000-0005-0000-0000-00007F020000}"/>
    <cellStyle name="H_Déf_3.2 Opportunités_5-Charges MO" xfId="611" xr:uid="{00000000-0005-0000-0000-000080020000}"/>
    <cellStyle name="H_Déf_3.2 Opportunités_5-Charges MO 2" xfId="1234" xr:uid="{9C364AF9-687C-44B4-AC66-E7EA99BDDF90}"/>
    <cellStyle name="H_Déf_3.2 Opportunités_7 - Recommandations AQ" xfId="612" xr:uid="{00000000-0005-0000-0000-000081020000}"/>
    <cellStyle name="H_Déf_3.2 Opportunités_99-2 Baseline Status (ECRs) (2)" xfId="613" xr:uid="{00000000-0005-0000-0000-000082020000}"/>
    <cellStyle name="H_Déf_3.2 Opportunités_99-2 Baseline Status (ECRs) (2) 2" xfId="1235" xr:uid="{72D038DD-7478-496B-A1D5-4FE2986EB6A9}"/>
    <cellStyle name="H_Déf_3.2 Opportunités_99-3 Formal IVV status (2)" xfId="614" xr:uid="{00000000-0005-0000-0000-000083020000}"/>
    <cellStyle name="H_Déf_3.2 Opportunités_99-3 Formal IVV status (2) 2" xfId="1236" xr:uid="{58987CFD-5036-4E6F-B656-52AA88EF0418}"/>
    <cellStyle name="H_Déf_3.2 Opportunités_MAP-F-DAE-025-00-D" xfId="615" xr:uid="{00000000-0005-0000-0000-000084020000}"/>
    <cellStyle name="H_Déf_3.2 Opportunités_MAP-F-DAE-025-00-D 2" xfId="616" xr:uid="{00000000-0005-0000-0000-000085020000}"/>
    <cellStyle name="H_Déf_3.2 Opportunités_MAP-F-DAE-025-00-D 2 2" xfId="617" xr:uid="{00000000-0005-0000-0000-000086020000}"/>
    <cellStyle name="H_Déf_3.2 Opportunités_MAP-S76-AVS-2010-04.new-xls" xfId="618" xr:uid="{00000000-0005-0000-0000-000087020000}"/>
    <cellStyle name="H_Déf_3.2 Opportunités_MAP-S76-AVS-2010-04.new-xls 2" xfId="1237" xr:uid="{EB4DA3B8-5FA3-47ED-8D02-B717BD278FC0}"/>
    <cellStyle name="H_Déf_3.2 Opportunités_Nettoyage_fichier" xfId="619" xr:uid="{00000000-0005-0000-0000-000088020000}"/>
    <cellStyle name="H_Déf_3.2 Opportunités_Nettoyage_fichier 2" xfId="620" xr:uid="{00000000-0005-0000-0000-000089020000}"/>
    <cellStyle name="H_Déf_3.2 Opportunités_Nettoyage_fichier 2 2" xfId="621" xr:uid="{00000000-0005-0000-0000-00008A020000}"/>
    <cellStyle name="H_Déf_3.2 Opportunités_TdB 30_04_2010 TASFR00580937AJ-1 THTH" xfId="622" xr:uid="{00000000-0005-0000-0000-00008B020000}"/>
    <cellStyle name="H_Déf_3.2 Opportunités_TdB 30_04_2010 TASFR00580937AJ-1 THTH 2" xfId="623" xr:uid="{00000000-0005-0000-0000-00008C020000}"/>
    <cellStyle name="H_Déf_3.2 Opportunités_tdb MAP CAM ATR42 NAV 08-00531-03" xfId="624" xr:uid="{00000000-0005-0000-0000-00008D020000}"/>
    <cellStyle name="H_Déf_3.2 Opportunités_tdb MAP CAM ATR42 NAV 08-00531-03 2" xfId="1238" xr:uid="{F4C04D41-E14F-4B93-9B79-44CCAC443BF1}"/>
    <cellStyle name="H_Déf_3.2 Opportunités_TdB-S76-CIS-2010-03 V38 Recup" xfId="625" xr:uid="{00000000-0005-0000-0000-00008E020000}"/>
    <cellStyle name="H_Déf_3.2 Opportunités_TdB-S76-CIS-2010-03 V38 Recup 2" xfId="1239" xr:uid="{E78539FB-2411-4CDF-8677-5F79EA933F48}"/>
    <cellStyle name="H_Déf_3.2 Opportunities" xfId="626" xr:uid="{00000000-0005-0000-0000-00008F020000}"/>
    <cellStyle name="H_Déf_5.1 Charges - ressources" xfId="627" xr:uid="{00000000-0005-0000-0000-000090020000}"/>
    <cellStyle name="H_Déf_5.1 Charges - ressources 2" xfId="628" xr:uid="{00000000-0005-0000-0000-000091020000}"/>
    <cellStyle name="H_Déf_5.1 Charges - ressources 2 2" xfId="629" xr:uid="{00000000-0005-0000-0000-000092020000}"/>
    <cellStyle name="H_Déf_5.1 Charges - ressources_1 - Fiche descriptive" xfId="630" xr:uid="{00000000-0005-0000-0000-000093020000}"/>
    <cellStyle name="H_Déf_5.1 Charges - ressources_5-Charges MO" xfId="631" xr:uid="{00000000-0005-0000-0000-000094020000}"/>
    <cellStyle name="H_Déf_5.1 Charges - ressources_5-Charges MO 2" xfId="1240" xr:uid="{BAEC3316-F9C7-4CBF-BC10-3350F1E22A90}"/>
    <cellStyle name="H_Déf_5.1 Charges - ressources_7 - Recommandations AQ" xfId="632" xr:uid="{00000000-0005-0000-0000-000095020000}"/>
    <cellStyle name="H_Déf_5.1 Charges - ressources_99-2 Baseline Status (ECRs) (2)" xfId="633" xr:uid="{00000000-0005-0000-0000-000096020000}"/>
    <cellStyle name="H_Déf_5.1 Charges - ressources_99-2 Baseline Status (ECRs) (2) 2" xfId="1241" xr:uid="{8AD8F208-FDD3-449C-9FC3-EC9A1955DBDB}"/>
    <cellStyle name="H_Déf_5.1 Charges - ressources_99-3 Formal IVV status (2)" xfId="634" xr:uid="{00000000-0005-0000-0000-000097020000}"/>
    <cellStyle name="H_Déf_5.1 Charges - ressources_99-3 Formal IVV status (2) 2" xfId="1242" xr:uid="{E4722372-7956-462A-A33A-EBD5CEAE9F77}"/>
    <cellStyle name="H_Déf_5.1 Charges - ressources_MAP-F-DAE-025-00-D" xfId="635" xr:uid="{00000000-0005-0000-0000-000098020000}"/>
    <cellStyle name="H_Déf_5.1 Charges - ressources_MAP-F-DAE-025-00-D 2" xfId="636" xr:uid="{00000000-0005-0000-0000-000099020000}"/>
    <cellStyle name="H_Déf_5.1 Charges - ressources_MAP-F-DAE-025-00-D 2 2" xfId="637" xr:uid="{00000000-0005-0000-0000-00009A020000}"/>
    <cellStyle name="H_Déf_5.1 Charges - ressources_MAP-S76-AVS-2010-04.new-xls" xfId="638" xr:uid="{00000000-0005-0000-0000-00009B020000}"/>
    <cellStyle name="H_Déf_5.1 Charges - ressources_MAP-S76-AVS-2010-04.new-xls 2" xfId="1243" xr:uid="{F199DD3B-8834-4BCC-A5CD-B16342429918}"/>
    <cellStyle name="H_Déf_5.1 Charges - ressources_Nettoyage_fichier" xfId="639" xr:uid="{00000000-0005-0000-0000-00009C020000}"/>
    <cellStyle name="H_Déf_5.1 Charges - ressources_Nettoyage_fichier 2" xfId="640" xr:uid="{00000000-0005-0000-0000-00009D020000}"/>
    <cellStyle name="H_Déf_5.1 Charges - ressources_Nettoyage_fichier 2 2" xfId="641" xr:uid="{00000000-0005-0000-0000-00009E020000}"/>
    <cellStyle name="H_Déf_5.1 Charges - ressources_TdB 30_04_2010 TASFR00580937AJ-1 THTH" xfId="642" xr:uid="{00000000-0005-0000-0000-00009F020000}"/>
    <cellStyle name="H_Déf_5.1 Charges - ressources_TdB 30_04_2010 TASFR00580937AJ-1 THTH 2" xfId="643" xr:uid="{00000000-0005-0000-0000-0000A0020000}"/>
    <cellStyle name="H_Déf_5.1 Charges - ressources_tdb MAP CAM ATR42 NAV 08-00531-03" xfId="644" xr:uid="{00000000-0005-0000-0000-0000A1020000}"/>
    <cellStyle name="H_Déf_5.1 Charges - ressources_tdb MAP CAM ATR42 NAV 08-00531-03 2" xfId="1244" xr:uid="{FC59E53A-EDEF-469C-BA77-517CC8291AF0}"/>
    <cellStyle name="H_Déf_5.1 Charges - ressources_TdB-S76-CIS-2010-03 V38 Recup" xfId="645" xr:uid="{00000000-0005-0000-0000-0000A2020000}"/>
    <cellStyle name="H_Déf_5.1 Charges - ressources_TdB-S76-CIS-2010-03 V38 Recup 2" xfId="1245" xr:uid="{4C0E6C4E-9D17-40FA-97D0-D900038B980F}"/>
    <cellStyle name="H_Déf_5.1 Labor workload" xfId="646" xr:uid="{00000000-0005-0000-0000-0000A3020000}"/>
    <cellStyle name="H_Déf_6 - Prochaines Etapes" xfId="647" xr:uid="{00000000-0005-0000-0000-0000A4020000}"/>
    <cellStyle name="H_Déf_6 - Prochaines Etapes 2" xfId="648" xr:uid="{00000000-0005-0000-0000-0000A5020000}"/>
    <cellStyle name="H_Déf_6 - Prochaines Etapes 2 2" xfId="649" xr:uid="{00000000-0005-0000-0000-0000A6020000}"/>
    <cellStyle name="H_Déf_6 - Prochaines Etapes_1 - Fiche descriptive" xfId="650" xr:uid="{00000000-0005-0000-0000-0000A7020000}"/>
    <cellStyle name="H_Déf_6 - Prochaines Etapes_5-Charges MO" xfId="651" xr:uid="{00000000-0005-0000-0000-0000A8020000}"/>
    <cellStyle name="H_Déf_6 - Prochaines Etapes_5-Charges MO 2" xfId="1246" xr:uid="{7401D2F8-674F-4AA8-8E27-84C1A8BF7544}"/>
    <cellStyle name="H_Déf_6 - Prochaines Etapes_7 - Recommandations AQ" xfId="652" xr:uid="{00000000-0005-0000-0000-0000A9020000}"/>
    <cellStyle name="H_Déf_6 - Prochaines Etapes_99-2 Baseline Status (ECRs) (2)" xfId="653" xr:uid="{00000000-0005-0000-0000-0000AA020000}"/>
    <cellStyle name="H_Déf_6 - Prochaines Etapes_99-2 Baseline Status (ECRs) (2) 2" xfId="1247" xr:uid="{4383EC2A-00E0-49B1-9582-8B2690383FF7}"/>
    <cellStyle name="H_Déf_6 - Prochaines Etapes_99-3 Formal IVV status (2)" xfId="654" xr:uid="{00000000-0005-0000-0000-0000AB020000}"/>
    <cellStyle name="H_Déf_6 - Prochaines Etapes_99-3 Formal IVV status (2) 2" xfId="1248" xr:uid="{1E37DF1C-ED63-4C7F-A810-25CABE262452}"/>
    <cellStyle name="H_Déf_6 - Prochaines Etapes_MAP-F-DAE-025-00-D" xfId="655" xr:uid="{00000000-0005-0000-0000-0000AC020000}"/>
    <cellStyle name="H_Déf_6 - Prochaines Etapes_MAP-F-DAE-025-00-D 2" xfId="656" xr:uid="{00000000-0005-0000-0000-0000AD020000}"/>
    <cellStyle name="H_Déf_6 - Prochaines Etapes_MAP-F-DAE-025-00-D 2 2" xfId="657" xr:uid="{00000000-0005-0000-0000-0000AE020000}"/>
    <cellStyle name="H_Déf_6 - Prochaines Etapes_MAP-S76-AVS-2010-04.new-xls" xfId="658" xr:uid="{00000000-0005-0000-0000-0000AF020000}"/>
    <cellStyle name="H_Déf_6 - Prochaines Etapes_MAP-S76-AVS-2010-04.new-xls 2" xfId="1249" xr:uid="{DA6B7A63-019C-4A8B-B27E-B73756A80F2B}"/>
    <cellStyle name="H_Déf_6 - Prochaines Etapes_Nettoyage_fichier" xfId="659" xr:uid="{00000000-0005-0000-0000-0000B0020000}"/>
    <cellStyle name="H_Déf_6 - Prochaines Etapes_Nettoyage_fichier 2" xfId="660" xr:uid="{00000000-0005-0000-0000-0000B1020000}"/>
    <cellStyle name="H_Déf_6 - Prochaines Etapes_Nettoyage_fichier 2 2" xfId="661" xr:uid="{00000000-0005-0000-0000-0000B2020000}"/>
    <cellStyle name="H_Déf_6 - Prochaines Etapes_TdB 30_04_2010 TASFR00580937AJ-1 THTH" xfId="662" xr:uid="{00000000-0005-0000-0000-0000B3020000}"/>
    <cellStyle name="H_Déf_6 - Prochaines Etapes_TdB 30_04_2010 TASFR00580937AJ-1 THTH 2" xfId="663" xr:uid="{00000000-0005-0000-0000-0000B4020000}"/>
    <cellStyle name="H_Déf_6 - Prochaines Etapes_tdb MAP CAM ATR42 NAV 08-00531-03" xfId="664" xr:uid="{00000000-0005-0000-0000-0000B5020000}"/>
    <cellStyle name="H_Déf_6 - Prochaines Etapes_tdb MAP CAM ATR42 NAV 08-00531-03 2" xfId="1250" xr:uid="{329C7139-7279-4F15-B500-9138DC1ED03D}"/>
    <cellStyle name="H_Déf_6 - Prochaines Etapes_TdB-S76-CIS-2010-03 V38 Recup" xfId="665" xr:uid="{00000000-0005-0000-0000-0000B6020000}"/>
    <cellStyle name="H_Déf_6 - Prochaines Etapes_TdB-S76-CIS-2010-03 V38 Recup 2" xfId="1251" xr:uid="{063E9302-0799-46FC-8154-5962D8E13164}"/>
    <cellStyle name="H_Déf_7.10 Autres aspects" xfId="666" xr:uid="{00000000-0005-0000-0000-0000B7020000}"/>
    <cellStyle name="H_Déf_7.10 Autres aspects 2" xfId="667" xr:uid="{00000000-0005-0000-0000-0000B8020000}"/>
    <cellStyle name="H_Déf_7.10 Autres aspects 2 2" xfId="668" xr:uid="{00000000-0005-0000-0000-0000B9020000}"/>
    <cellStyle name="H_Déf_7.10 Autres aspects_1 - Fiche descriptive" xfId="669" xr:uid="{00000000-0005-0000-0000-0000BA020000}"/>
    <cellStyle name="H_Déf_7.10 Autres aspects_5-Charges MO" xfId="670" xr:uid="{00000000-0005-0000-0000-0000BB020000}"/>
    <cellStyle name="H_Déf_7.10 Autres aspects_5-Charges MO 2" xfId="1252" xr:uid="{A4A30DA3-C522-402B-B8A4-6B33AE610B14}"/>
    <cellStyle name="H_Déf_7.10 Autres aspects_7 - Recommandations AQ" xfId="671" xr:uid="{00000000-0005-0000-0000-0000BC020000}"/>
    <cellStyle name="H_Déf_7.10 Autres aspects_99-2 Baseline Status (ECRs) (2)" xfId="672" xr:uid="{00000000-0005-0000-0000-0000BD020000}"/>
    <cellStyle name="H_Déf_7.10 Autres aspects_99-2 Baseline Status (ECRs) (2) 2" xfId="1253" xr:uid="{88AF0C16-6CBE-4F03-821B-E62F5E440E5F}"/>
    <cellStyle name="H_Déf_7.10 Autres aspects_99-3 Formal IVV status (2)" xfId="673" xr:uid="{00000000-0005-0000-0000-0000BE020000}"/>
    <cellStyle name="H_Déf_7.10 Autres aspects_99-3 Formal IVV status (2) 2" xfId="1254" xr:uid="{88DF9776-AC59-4D31-8DF8-B33772C1FDB8}"/>
    <cellStyle name="H_Déf_7.10 Autres aspects_MAP-F-DAE-025-00-D" xfId="674" xr:uid="{00000000-0005-0000-0000-0000BF020000}"/>
    <cellStyle name="H_Déf_7.10 Autres aspects_MAP-F-DAE-025-00-D 2" xfId="675" xr:uid="{00000000-0005-0000-0000-0000C0020000}"/>
    <cellStyle name="H_Déf_7.10 Autres aspects_MAP-F-DAE-025-00-D 2 2" xfId="676" xr:uid="{00000000-0005-0000-0000-0000C1020000}"/>
    <cellStyle name="H_Déf_7.10 Autres aspects_MAP-S76-AVS-2010-04.new-xls" xfId="677" xr:uid="{00000000-0005-0000-0000-0000C2020000}"/>
    <cellStyle name="H_Déf_7.10 Autres aspects_MAP-S76-AVS-2010-04.new-xls 2" xfId="1255" xr:uid="{9B2C93C1-33E7-49D0-AA2A-B51C81931DE9}"/>
    <cellStyle name="H_Déf_7.10 Autres aspects_Nettoyage_fichier" xfId="678" xr:uid="{00000000-0005-0000-0000-0000C3020000}"/>
    <cellStyle name="H_Déf_7.10 Autres aspects_Nettoyage_fichier 2" xfId="679" xr:uid="{00000000-0005-0000-0000-0000C4020000}"/>
    <cellStyle name="H_Déf_7.10 Autres aspects_Nettoyage_fichier 2 2" xfId="680" xr:uid="{00000000-0005-0000-0000-0000C5020000}"/>
    <cellStyle name="H_Déf_7.10 Autres aspects_TdB 30_04_2010 TASFR00580937AJ-1 THTH" xfId="681" xr:uid="{00000000-0005-0000-0000-0000C6020000}"/>
    <cellStyle name="H_Déf_7.10 Autres aspects_TdB 30_04_2010 TASFR00580937AJ-1 THTH 2" xfId="682" xr:uid="{00000000-0005-0000-0000-0000C7020000}"/>
    <cellStyle name="H_Déf_7.10 Autres aspects_tdb MAP CAM ATR42 NAV 08-00531-03" xfId="683" xr:uid="{00000000-0005-0000-0000-0000C8020000}"/>
    <cellStyle name="H_Déf_7.10 Autres aspects_tdb MAP CAM ATR42 NAV 08-00531-03 2" xfId="1256" xr:uid="{2E34DE80-BAF3-400F-9D8E-DC1ACD5B741D}"/>
    <cellStyle name="H_Déf_7.10 Autres aspects_TdB-S76-CIS-2010-03 V38 Recup" xfId="684" xr:uid="{00000000-0005-0000-0000-0000C9020000}"/>
    <cellStyle name="H_Déf_7.10 Autres aspects_TdB-S76-CIS-2010-03 V38 Recup 2" xfId="1257" xr:uid="{82F843ED-F6CC-4BCA-8702-D9B6A4A56BB6}"/>
    <cellStyle name="H_Déf_8.1 COP-CEP" xfId="685" xr:uid="{00000000-0005-0000-0000-0000CA020000}"/>
    <cellStyle name="H_Déf_8.2 Synthèse CPE CPP" xfId="686" xr:uid="{00000000-0005-0000-0000-0000CB020000}"/>
    <cellStyle name="H_Déf_8.2 Synthèse CPE CPP 2" xfId="687" xr:uid="{00000000-0005-0000-0000-0000CC020000}"/>
    <cellStyle name="H_Déf_8.2 Synthèse CPE CPP 2 2" xfId="688" xr:uid="{00000000-0005-0000-0000-0000CD020000}"/>
    <cellStyle name="H_Déf_8.2 Synthèse CPE CPP_1 - Fiche descriptive" xfId="689" xr:uid="{00000000-0005-0000-0000-0000CE020000}"/>
    <cellStyle name="H_Déf_8.2 Synthèse CPE CPP_5-Charges MO" xfId="690" xr:uid="{00000000-0005-0000-0000-0000CF020000}"/>
    <cellStyle name="H_Déf_8.2 Synthèse CPE CPP_5-Charges MO 2" xfId="1258" xr:uid="{892BD18B-102F-42D4-A54D-35270E9D0759}"/>
    <cellStyle name="H_Déf_8.2 Synthèse CPE CPP_7 - Recommandations AQ" xfId="691" xr:uid="{00000000-0005-0000-0000-0000D0020000}"/>
    <cellStyle name="H_Déf_8.2 Synthèse CPE CPP_99-2 Baseline Status (ECRs) (2)" xfId="692" xr:uid="{00000000-0005-0000-0000-0000D1020000}"/>
    <cellStyle name="H_Déf_8.2 Synthèse CPE CPP_99-2 Baseline Status (ECRs) (2) 2" xfId="1259" xr:uid="{E623580E-7CDC-432E-8F54-020434F27EFD}"/>
    <cellStyle name="H_Déf_8.2 Synthèse CPE CPP_99-3 Formal IVV status (2)" xfId="693" xr:uid="{00000000-0005-0000-0000-0000D2020000}"/>
    <cellStyle name="H_Déf_8.2 Synthèse CPE CPP_99-3 Formal IVV status (2) 2" xfId="1260" xr:uid="{29546ECA-A5EC-4B78-AC24-5155636CE47C}"/>
    <cellStyle name="H_Déf_8.2 Synthèse CPE CPP_MAP-F-DAE-025-00-D" xfId="694" xr:uid="{00000000-0005-0000-0000-0000D3020000}"/>
    <cellStyle name="H_Déf_8.2 Synthèse CPE CPP_MAP-F-DAE-025-00-D 2" xfId="695" xr:uid="{00000000-0005-0000-0000-0000D4020000}"/>
    <cellStyle name="H_Déf_8.2 Synthèse CPE CPP_MAP-F-DAE-025-00-D 2 2" xfId="696" xr:uid="{00000000-0005-0000-0000-0000D5020000}"/>
    <cellStyle name="H_Déf_8.2 Synthèse CPE CPP_MAP-S76-AVS-2010-04.new-xls" xfId="697" xr:uid="{00000000-0005-0000-0000-0000D6020000}"/>
    <cellStyle name="H_Déf_8.2 Synthèse CPE CPP_MAP-S76-AVS-2010-04.new-xls 2" xfId="1261" xr:uid="{DAD7D739-F34D-4798-9E9B-36220104043A}"/>
    <cellStyle name="H_Déf_8.2 Synthèse CPE CPP_Nettoyage_fichier" xfId="698" xr:uid="{00000000-0005-0000-0000-0000D7020000}"/>
    <cellStyle name="H_Déf_8.2 Synthèse CPE CPP_Nettoyage_fichier 2" xfId="699" xr:uid="{00000000-0005-0000-0000-0000D8020000}"/>
    <cellStyle name="H_Déf_8.2 Synthèse CPE CPP_Nettoyage_fichier 2 2" xfId="700" xr:uid="{00000000-0005-0000-0000-0000D9020000}"/>
    <cellStyle name="H_Déf_8.2 Synthèse CPE CPP_TdB 30_04_2010 TASFR00580937AJ-1 THTH" xfId="701" xr:uid="{00000000-0005-0000-0000-0000DA020000}"/>
    <cellStyle name="H_Déf_8.2 Synthèse CPE CPP_TdB 30_04_2010 TASFR00580937AJ-1 THTH 2" xfId="702" xr:uid="{00000000-0005-0000-0000-0000DB020000}"/>
    <cellStyle name="H_Déf_8.2 Synthèse CPE CPP_tdb MAP CAM ATR42 NAV 08-00531-03" xfId="703" xr:uid="{00000000-0005-0000-0000-0000DC020000}"/>
    <cellStyle name="H_Déf_8.2 Synthèse CPE CPP_tdb MAP CAM ATR42 NAV 08-00531-03 2" xfId="1262" xr:uid="{4851DE39-29FA-4DA1-8D3F-DCC27B88D3CC}"/>
    <cellStyle name="H_Déf_8.2 Synthèse CPE CPP_TdB-S76-CIS-2010-03 V38 Recup" xfId="704" xr:uid="{00000000-0005-0000-0000-0000DD020000}"/>
    <cellStyle name="H_Déf_8.2 Synthèse CPE CPP_TdB-S76-CIS-2010-03 V38 Recup 2" xfId="1263" xr:uid="{4B13253F-4A8E-496D-B931-39C0201B6770}"/>
    <cellStyle name="H_Déf_8.3 CPE-CPP par lots" xfId="705" xr:uid="{00000000-0005-0000-0000-0000DE020000}"/>
    <cellStyle name="H_Déf_8.3 CPE-CPP par lots 2" xfId="706" xr:uid="{00000000-0005-0000-0000-0000DF020000}"/>
    <cellStyle name="H_Déf_8.3 CPE-CPP par lots 2 2" xfId="707" xr:uid="{00000000-0005-0000-0000-0000E0020000}"/>
    <cellStyle name="H_Déf_8.3 CPE-CPP par lots_1 - Fiche descriptive" xfId="708" xr:uid="{00000000-0005-0000-0000-0000E1020000}"/>
    <cellStyle name="H_Déf_8.3 CPE-CPP par lots_5-Charges MO" xfId="709" xr:uid="{00000000-0005-0000-0000-0000E2020000}"/>
    <cellStyle name="H_Déf_8.3 CPE-CPP par lots_5-Charges MO 2" xfId="1264" xr:uid="{73D71094-2845-4ADC-9B0E-8016D57FF215}"/>
    <cellStyle name="H_Déf_8.3 CPE-CPP par lots_7 - Recommandations AQ" xfId="710" xr:uid="{00000000-0005-0000-0000-0000E3020000}"/>
    <cellStyle name="H_Déf_8.3 CPE-CPP par lots_99-2 Baseline Status (ECRs) (2)" xfId="711" xr:uid="{00000000-0005-0000-0000-0000E4020000}"/>
    <cellStyle name="H_Déf_8.3 CPE-CPP par lots_99-2 Baseline Status (ECRs) (2) 2" xfId="1265" xr:uid="{E74BC5DF-4E29-469F-BD9B-962FF782B222}"/>
    <cellStyle name="H_Déf_8.3 CPE-CPP par lots_99-3 Formal IVV status (2)" xfId="712" xr:uid="{00000000-0005-0000-0000-0000E5020000}"/>
    <cellStyle name="H_Déf_8.3 CPE-CPP par lots_99-3 Formal IVV status (2) 2" xfId="1266" xr:uid="{B38A0EBE-C0AA-45AC-9DEA-3EEEADB0FCF1}"/>
    <cellStyle name="H_Déf_8.3 CPE-CPP par lots_MAP-F-DAE-025-00-D" xfId="713" xr:uid="{00000000-0005-0000-0000-0000E6020000}"/>
    <cellStyle name="H_Déf_8.3 CPE-CPP par lots_MAP-F-DAE-025-00-D 2" xfId="714" xr:uid="{00000000-0005-0000-0000-0000E7020000}"/>
    <cellStyle name="H_Déf_8.3 CPE-CPP par lots_MAP-F-DAE-025-00-D 2 2" xfId="715" xr:uid="{00000000-0005-0000-0000-0000E8020000}"/>
    <cellStyle name="H_Déf_8.3 CPE-CPP par lots_MAP-S76-AVS-2010-04.new-xls" xfId="716" xr:uid="{00000000-0005-0000-0000-0000E9020000}"/>
    <cellStyle name="H_Déf_8.3 CPE-CPP par lots_MAP-S76-AVS-2010-04.new-xls 2" xfId="1267" xr:uid="{2DB83138-685A-47E6-97A2-C1B2AE99B658}"/>
    <cellStyle name="H_Déf_8.3 CPE-CPP par lots_Nettoyage_fichier" xfId="717" xr:uid="{00000000-0005-0000-0000-0000EA020000}"/>
    <cellStyle name="H_Déf_8.3 CPE-CPP par lots_Nettoyage_fichier 2" xfId="718" xr:uid="{00000000-0005-0000-0000-0000EB020000}"/>
    <cellStyle name="H_Déf_8.3 CPE-CPP par lots_Nettoyage_fichier 2 2" xfId="719" xr:uid="{00000000-0005-0000-0000-0000EC020000}"/>
    <cellStyle name="H_Déf_8.3 CPE-CPP par lots_TdB 30_04_2010 TASFR00580937AJ-1 THTH" xfId="720" xr:uid="{00000000-0005-0000-0000-0000ED020000}"/>
    <cellStyle name="H_Déf_8.3 CPE-CPP par lots_TdB 30_04_2010 TASFR00580937AJ-1 THTH 2" xfId="721" xr:uid="{00000000-0005-0000-0000-0000EE020000}"/>
    <cellStyle name="H_Déf_8.3 CPE-CPP par lots_tdb MAP CAM ATR42 NAV 08-00531-03" xfId="722" xr:uid="{00000000-0005-0000-0000-0000EF020000}"/>
    <cellStyle name="H_Déf_8.3 CPE-CPP par lots_tdb MAP CAM ATR42 NAV 08-00531-03 2" xfId="1268" xr:uid="{6947D4C5-6193-4469-B79C-4CD45FF8B6E2}"/>
    <cellStyle name="H_Déf_8.3 CPE-CPP par lots_TdB-S76-CIS-2010-03 V38 Recup" xfId="723" xr:uid="{00000000-0005-0000-0000-0000F0020000}"/>
    <cellStyle name="H_Déf_8.3 CPE-CPP par lots_TdB-S76-CIS-2010-03 V38 Recup 2" xfId="1269" xr:uid="{7757EEAF-299B-4FC9-BA38-8FBDB9D474F4}"/>
    <cellStyle name="H_Déf_8.4 Courbe dépenses CPR-PPS" xfId="724" xr:uid="{00000000-0005-0000-0000-0000F1020000}"/>
    <cellStyle name="H_Déf_8.4 Courbe dépenses CPR-PPS 2" xfId="725" xr:uid="{00000000-0005-0000-0000-0000F2020000}"/>
    <cellStyle name="H_Déf_8.4 Courbe dépenses CPR-PPS 2 2" xfId="726" xr:uid="{00000000-0005-0000-0000-0000F3020000}"/>
    <cellStyle name="H_Déf_8.4 Courbe dépenses CPR-PPS_1 - Fiche descriptive" xfId="727" xr:uid="{00000000-0005-0000-0000-0000F4020000}"/>
    <cellStyle name="H_Déf_8.4 Courbe dépenses CPR-PPS_5-Charges MO" xfId="728" xr:uid="{00000000-0005-0000-0000-0000F5020000}"/>
    <cellStyle name="H_Déf_8.4 Courbe dépenses CPR-PPS_5-Charges MO 2" xfId="1270" xr:uid="{996A9D3D-54A4-44E4-BA37-BA02271A7889}"/>
    <cellStyle name="H_Déf_8.4 Courbe dépenses CPR-PPS_7 - Recommandations AQ" xfId="729" xr:uid="{00000000-0005-0000-0000-0000F6020000}"/>
    <cellStyle name="H_Déf_8.4 Courbe dépenses CPR-PPS_99-2 Baseline Status (ECRs) (2)" xfId="730" xr:uid="{00000000-0005-0000-0000-0000F7020000}"/>
    <cellStyle name="H_Déf_8.4 Courbe dépenses CPR-PPS_99-2 Baseline Status (ECRs) (2) 2" xfId="1271" xr:uid="{29A362E5-61A0-4D56-9D89-BBB14F671A19}"/>
    <cellStyle name="H_Déf_8.4 Courbe dépenses CPR-PPS_99-3 Formal IVV status (2)" xfId="731" xr:uid="{00000000-0005-0000-0000-0000F8020000}"/>
    <cellStyle name="H_Déf_8.4 Courbe dépenses CPR-PPS_99-3 Formal IVV status (2) 2" xfId="1272" xr:uid="{602BF1AD-965B-466F-B9B3-6E5A8894208E}"/>
    <cellStyle name="H_Déf_8.4 Courbe dépenses CPR-PPS_MAP-F-DAE-025-00-D" xfId="732" xr:uid="{00000000-0005-0000-0000-0000F9020000}"/>
    <cellStyle name="H_Déf_8.4 Courbe dépenses CPR-PPS_MAP-F-DAE-025-00-D 2" xfId="733" xr:uid="{00000000-0005-0000-0000-0000FA020000}"/>
    <cellStyle name="H_Déf_8.4 Courbe dépenses CPR-PPS_MAP-F-DAE-025-00-D 2 2" xfId="734" xr:uid="{00000000-0005-0000-0000-0000FB020000}"/>
    <cellStyle name="H_Déf_8.4 Courbe dépenses CPR-PPS_MAP-S76-AVS-2010-04.new-xls" xfId="735" xr:uid="{00000000-0005-0000-0000-0000FC020000}"/>
    <cellStyle name="H_Déf_8.4 Courbe dépenses CPR-PPS_MAP-S76-AVS-2010-04.new-xls 2" xfId="1273" xr:uid="{38CD97FF-C2BE-4D94-A712-1C710B8F6CAF}"/>
    <cellStyle name="H_Déf_8.4 Courbe dépenses CPR-PPS_Nettoyage_fichier" xfId="736" xr:uid="{00000000-0005-0000-0000-0000FD020000}"/>
    <cellStyle name="H_Déf_8.4 Courbe dépenses CPR-PPS_Nettoyage_fichier 2" xfId="737" xr:uid="{00000000-0005-0000-0000-0000FE020000}"/>
    <cellStyle name="H_Déf_8.4 Courbe dépenses CPR-PPS_Nettoyage_fichier 2 2" xfId="738" xr:uid="{00000000-0005-0000-0000-0000FF020000}"/>
    <cellStyle name="H_Déf_8.4 Courbe dépenses CPR-PPS_TdB 30_04_2010 TASFR00580937AJ-1 THTH" xfId="739" xr:uid="{00000000-0005-0000-0000-000000030000}"/>
    <cellStyle name="H_Déf_8.4 Courbe dépenses CPR-PPS_TdB 30_04_2010 TASFR00580937AJ-1 THTH 2" xfId="740" xr:uid="{00000000-0005-0000-0000-000001030000}"/>
    <cellStyle name="H_Déf_8.4 Courbe dépenses CPR-PPS_tdb MAP CAM ATR42 NAV 08-00531-03" xfId="741" xr:uid="{00000000-0005-0000-0000-000002030000}"/>
    <cellStyle name="H_Déf_8.4 Courbe dépenses CPR-PPS_tdb MAP CAM ATR42 NAV 08-00531-03 2" xfId="1274" xr:uid="{AF55AC9B-BE35-4BF7-8C43-F836032E4535}"/>
    <cellStyle name="H_Déf_8.4 Courbe dépenses CPR-PPS_TdB-S76-CIS-2010-03 V38 Recup" xfId="742" xr:uid="{00000000-0005-0000-0000-000003030000}"/>
    <cellStyle name="H_Déf_8.4 Courbe dépenses CPR-PPS_TdB-S76-CIS-2010-03 V38 Recup 2" xfId="1275" xr:uid="{A13C099F-70CB-48B3-ACE5-BEF4D1D794A9}"/>
    <cellStyle name="H_Déf_8.5 Situation financière" xfId="743" xr:uid="{00000000-0005-0000-0000-000004030000}"/>
    <cellStyle name="H_Déf_8.5 Situation financière 2" xfId="744" xr:uid="{00000000-0005-0000-0000-000005030000}"/>
    <cellStyle name="H_Déf_8.5 Situation financière 2 2" xfId="745" xr:uid="{00000000-0005-0000-0000-000006030000}"/>
    <cellStyle name="H_Déf_8.5 Situation financière_1 - Fiche descriptive" xfId="746" xr:uid="{00000000-0005-0000-0000-000007030000}"/>
    <cellStyle name="H_Déf_8.5 Situation financière_5-Charges MO" xfId="747" xr:uid="{00000000-0005-0000-0000-000008030000}"/>
    <cellStyle name="H_Déf_8.5 Situation financière_5-Charges MO 2" xfId="1276" xr:uid="{9FD8F1CC-0687-49D1-A539-8F1F999BFFC8}"/>
    <cellStyle name="H_Déf_8.5 Situation financière_7 - Recommandations AQ" xfId="748" xr:uid="{00000000-0005-0000-0000-000009030000}"/>
    <cellStyle name="H_Déf_8.5 Situation financière_99-2 Baseline Status (ECRs) (2)" xfId="749" xr:uid="{00000000-0005-0000-0000-00000A030000}"/>
    <cellStyle name="H_Déf_8.5 Situation financière_99-2 Baseline Status (ECRs) (2) 2" xfId="1277" xr:uid="{EED7C606-57C4-4F7A-98DC-54685C033552}"/>
    <cellStyle name="H_Déf_8.5 Situation financière_99-3 Formal IVV status (2)" xfId="750" xr:uid="{00000000-0005-0000-0000-00000B030000}"/>
    <cellStyle name="H_Déf_8.5 Situation financière_99-3 Formal IVV status (2) 2" xfId="1278" xr:uid="{CEE16AE5-6288-4AAF-A44E-9971C6D9FE5F}"/>
    <cellStyle name="H_Déf_8.5 Situation financière_MAP-F-DAE-025-00-D" xfId="751" xr:uid="{00000000-0005-0000-0000-00000C030000}"/>
    <cellStyle name="H_Déf_8.5 Situation financière_MAP-F-DAE-025-00-D 2" xfId="752" xr:uid="{00000000-0005-0000-0000-00000D030000}"/>
    <cellStyle name="H_Déf_8.5 Situation financière_MAP-F-DAE-025-00-D 2 2" xfId="753" xr:uid="{00000000-0005-0000-0000-00000E030000}"/>
    <cellStyle name="H_Déf_8.5 Situation financière_MAP-S76-AVS-2010-04.new-xls" xfId="754" xr:uid="{00000000-0005-0000-0000-00000F030000}"/>
    <cellStyle name="H_Déf_8.5 Situation financière_MAP-S76-AVS-2010-04.new-xls 2" xfId="1279" xr:uid="{341D3EE2-CC12-44E4-A8A3-F20F2A399ECF}"/>
    <cellStyle name="H_Déf_8.5 Situation financière_Nettoyage_fichier" xfId="755" xr:uid="{00000000-0005-0000-0000-000010030000}"/>
    <cellStyle name="H_Déf_8.5 Situation financière_Nettoyage_fichier 2" xfId="756" xr:uid="{00000000-0005-0000-0000-000011030000}"/>
    <cellStyle name="H_Déf_8.5 Situation financière_Nettoyage_fichier 2 2" xfId="757" xr:uid="{00000000-0005-0000-0000-000012030000}"/>
    <cellStyle name="H_Déf_8.5 Situation financière_TdB 30_04_2010 TASFR00580937AJ-1 THTH" xfId="758" xr:uid="{00000000-0005-0000-0000-000013030000}"/>
    <cellStyle name="H_Déf_8.5 Situation financière_TdB 30_04_2010 TASFR00580937AJ-1 THTH 2" xfId="759" xr:uid="{00000000-0005-0000-0000-000014030000}"/>
    <cellStyle name="H_Déf_8.5 Situation financière_tdb MAP CAM ATR42 NAV 08-00531-03" xfId="760" xr:uid="{00000000-0005-0000-0000-000015030000}"/>
    <cellStyle name="H_Déf_8.5 Situation financière_tdb MAP CAM ATR42 NAV 08-00531-03 2" xfId="1280" xr:uid="{70BFA7EF-7DBF-4D3F-A949-356BBFE30898}"/>
    <cellStyle name="H_Déf_8.5 Situation financière_TdB-S76-CIS-2010-03 V38 Recup" xfId="761" xr:uid="{00000000-0005-0000-0000-000016030000}"/>
    <cellStyle name="H_Déf_8.5 Situation financière_TdB-S76-CIS-2010-03 V38 Recup 2" xfId="1281" xr:uid="{37B6D5AD-A325-48A4-A30D-7DDE29952D85}"/>
    <cellStyle name="H_Déf_8.6 Rentabilité à terminaison" xfId="762" xr:uid="{00000000-0005-0000-0000-000017030000}"/>
    <cellStyle name="H_Déf_8.6 Rentabilité à terminaison 2" xfId="763" xr:uid="{00000000-0005-0000-0000-000018030000}"/>
    <cellStyle name="H_Déf_8.6 Rentabilité à terminaison 2 2" xfId="764" xr:uid="{00000000-0005-0000-0000-000019030000}"/>
    <cellStyle name="H_Déf_8.6 Rentabilité à terminaison_1 - Fiche descriptive" xfId="765" xr:uid="{00000000-0005-0000-0000-00001A030000}"/>
    <cellStyle name="H_Déf_8.6 Rentabilité à terminaison_5-Charges MO" xfId="766" xr:uid="{00000000-0005-0000-0000-00001B030000}"/>
    <cellStyle name="H_Déf_8.6 Rentabilité à terminaison_5-Charges MO 2" xfId="1282" xr:uid="{B0B65A99-7C16-4F2B-A5F6-44F722B88CDA}"/>
    <cellStyle name="H_Déf_8.6 Rentabilité à terminaison_7 - Recommandations AQ" xfId="767" xr:uid="{00000000-0005-0000-0000-00001C030000}"/>
    <cellStyle name="H_Déf_8.6 Rentabilité à terminaison_99-2 Baseline Status (ECRs) (2)" xfId="768" xr:uid="{00000000-0005-0000-0000-00001D030000}"/>
    <cellStyle name="H_Déf_8.6 Rentabilité à terminaison_99-2 Baseline Status (ECRs) (2) 2" xfId="1283" xr:uid="{0AC5B6CA-84D1-4FEF-B116-729279FAAFCF}"/>
    <cellStyle name="H_Déf_8.6 Rentabilité à terminaison_99-3 Formal IVV status (2)" xfId="769" xr:uid="{00000000-0005-0000-0000-00001E030000}"/>
    <cellStyle name="H_Déf_8.6 Rentabilité à terminaison_99-3 Formal IVV status (2) 2" xfId="1284" xr:uid="{F1C0C652-092C-433E-8EFD-A641EBE831F1}"/>
    <cellStyle name="H_Déf_8.6 Rentabilité à terminaison_MAP-F-DAE-025-00-D" xfId="770" xr:uid="{00000000-0005-0000-0000-00001F030000}"/>
    <cellStyle name="H_Déf_8.6 Rentabilité à terminaison_MAP-F-DAE-025-00-D 2" xfId="771" xr:uid="{00000000-0005-0000-0000-000020030000}"/>
    <cellStyle name="H_Déf_8.6 Rentabilité à terminaison_MAP-F-DAE-025-00-D 2 2" xfId="772" xr:uid="{00000000-0005-0000-0000-000021030000}"/>
    <cellStyle name="H_Déf_8.6 Rentabilité à terminaison_MAP-S76-AVS-2010-04.new-xls" xfId="773" xr:uid="{00000000-0005-0000-0000-000022030000}"/>
    <cellStyle name="H_Déf_8.6 Rentabilité à terminaison_MAP-S76-AVS-2010-04.new-xls 2" xfId="1285" xr:uid="{943B2F8E-485C-4A36-82AB-C82751BC46CD}"/>
    <cellStyle name="H_Déf_8.6 Rentabilité à terminaison_Nettoyage_fichier" xfId="774" xr:uid="{00000000-0005-0000-0000-000023030000}"/>
    <cellStyle name="H_Déf_8.6 Rentabilité à terminaison_Nettoyage_fichier 2" xfId="775" xr:uid="{00000000-0005-0000-0000-000024030000}"/>
    <cellStyle name="H_Déf_8.6 Rentabilité à terminaison_Nettoyage_fichier 2 2" xfId="776" xr:uid="{00000000-0005-0000-0000-000025030000}"/>
    <cellStyle name="H_Déf_8.6 Rentabilité à terminaison_TdB 30_04_2010 TASFR00580937AJ-1 THTH" xfId="777" xr:uid="{00000000-0005-0000-0000-000026030000}"/>
    <cellStyle name="H_Déf_8.6 Rentabilité à terminaison_TdB 30_04_2010 TASFR00580937AJ-1 THTH 2" xfId="778" xr:uid="{00000000-0005-0000-0000-000027030000}"/>
    <cellStyle name="H_Déf_8.6 Rentabilité à terminaison_tdb MAP CAM ATR42 NAV 08-00531-03" xfId="779" xr:uid="{00000000-0005-0000-0000-000028030000}"/>
    <cellStyle name="H_Déf_8.6 Rentabilité à terminaison_tdb MAP CAM ATR42 NAV 08-00531-03 2" xfId="1286" xr:uid="{C2DB7FCD-0ADB-4631-938F-7B65DC4D7796}"/>
    <cellStyle name="H_Déf_8.6 Rentabilité à terminaison_TdB-S76-CIS-2010-03 V38 Recup" xfId="780" xr:uid="{00000000-0005-0000-0000-000029030000}"/>
    <cellStyle name="H_Déf_8.6 Rentabilité à terminaison_TdB-S76-CIS-2010-03 V38 Recup 2" xfId="1287" xr:uid="{7293AE01-9505-4E6A-A90D-B7BEE4ACA511}"/>
    <cellStyle name="H_Déf_9 Administration" xfId="781" xr:uid="{00000000-0005-0000-0000-00002A030000}"/>
    <cellStyle name="H_Déf_9 Administration_8.1 COP-CEP" xfId="782" xr:uid="{00000000-0005-0000-0000-00002B030000}"/>
    <cellStyle name="H_Déf_Copie de 2005_06_23_TdB RRJ-DG FINAL" xfId="783" xr:uid="{00000000-0005-0000-0000-00002C030000}"/>
    <cellStyle name="H_Déf_Copie de 2005_06_23_TdB RRJ-DG FINAL 2" xfId="784" xr:uid="{00000000-0005-0000-0000-00002D030000}"/>
    <cellStyle name="H_Déf_Copie de 2005_06_23_TdB RRJ-DG FINAL 2 2" xfId="785" xr:uid="{00000000-0005-0000-0000-00002E030000}"/>
    <cellStyle name="H_Déf_Copie de 2005_06_23_TdB RRJ-DG FINAL_1 - Fiche descriptive" xfId="786" xr:uid="{00000000-0005-0000-0000-00002F030000}"/>
    <cellStyle name="H_Déf_Copie de 2005_06_23_TdB RRJ-DG FINAL_5-Charges MO" xfId="787" xr:uid="{00000000-0005-0000-0000-000030030000}"/>
    <cellStyle name="H_Déf_Copie de 2005_06_23_TdB RRJ-DG FINAL_5-Charges MO 2" xfId="1288" xr:uid="{4F2AD6AE-D4BA-49B3-A28A-8EF8BF4F20F6}"/>
    <cellStyle name="H_Déf_Copie de 2005_06_23_TdB RRJ-DG FINAL_7 - Recommandations AQ" xfId="788" xr:uid="{00000000-0005-0000-0000-000031030000}"/>
    <cellStyle name="H_Déf_Copie de 2005_06_23_TdB RRJ-DG FINAL_99-2 Baseline Status (ECRs) (2)" xfId="789" xr:uid="{00000000-0005-0000-0000-000032030000}"/>
    <cellStyle name="H_Déf_Copie de 2005_06_23_TdB RRJ-DG FINAL_99-2 Baseline Status (ECRs) (2) 2" xfId="1289" xr:uid="{206E16FE-C818-4793-9272-71A6B0858F8B}"/>
    <cellStyle name="H_Déf_Copie de 2005_06_23_TdB RRJ-DG FINAL_99-3 Formal IVV status (2)" xfId="790" xr:uid="{00000000-0005-0000-0000-000033030000}"/>
    <cellStyle name="H_Déf_Copie de 2005_06_23_TdB RRJ-DG FINAL_99-3 Formal IVV status (2) 2" xfId="1290" xr:uid="{E4BB2B4D-168E-4FF4-B876-7678ED41C8CC}"/>
    <cellStyle name="H_Déf_Copie de 2005_06_23_TdB RRJ-DG FINAL_MAP-F-DAE-025-00-D" xfId="791" xr:uid="{00000000-0005-0000-0000-000034030000}"/>
    <cellStyle name="H_Déf_Copie de 2005_06_23_TdB RRJ-DG FINAL_MAP-F-DAE-025-00-D 2" xfId="792" xr:uid="{00000000-0005-0000-0000-000035030000}"/>
    <cellStyle name="H_Déf_Copie de 2005_06_23_TdB RRJ-DG FINAL_MAP-F-DAE-025-00-D 2 2" xfId="793" xr:uid="{00000000-0005-0000-0000-000036030000}"/>
    <cellStyle name="H_Déf_Copie de 2005_06_23_TdB RRJ-DG FINAL_MAP-S76-AVS-2010-04.new-xls" xfId="794" xr:uid="{00000000-0005-0000-0000-000037030000}"/>
    <cellStyle name="H_Déf_Copie de 2005_06_23_TdB RRJ-DG FINAL_MAP-S76-AVS-2010-04.new-xls 2" xfId="1291" xr:uid="{8BC99FD9-9A38-47DE-8F52-F5C280496599}"/>
    <cellStyle name="H_Déf_Copie de 2005_06_23_TdB RRJ-DG FINAL_Nettoyage_fichier" xfId="795" xr:uid="{00000000-0005-0000-0000-000038030000}"/>
    <cellStyle name="H_Déf_Copie de 2005_06_23_TdB RRJ-DG FINAL_Nettoyage_fichier 2" xfId="796" xr:uid="{00000000-0005-0000-0000-000039030000}"/>
    <cellStyle name="H_Déf_Copie de 2005_06_23_TdB RRJ-DG FINAL_Nettoyage_fichier 2 2" xfId="797" xr:uid="{00000000-0005-0000-0000-00003A030000}"/>
    <cellStyle name="H_Déf_Copie de 2005_06_23_TdB RRJ-DG FINAL_TdB 30_04_2010 TASFR00580937AJ-1 THTH" xfId="798" xr:uid="{00000000-0005-0000-0000-00003B030000}"/>
    <cellStyle name="H_Déf_Copie de 2005_06_23_TdB RRJ-DG FINAL_TdB 30_04_2010 TASFR00580937AJ-1 THTH 2" xfId="799" xr:uid="{00000000-0005-0000-0000-00003C030000}"/>
    <cellStyle name="H_Déf_Copie de 2005_06_23_TdB RRJ-DG FINAL_tdb MAP CAM ATR42 NAV 08-00531-03" xfId="800" xr:uid="{00000000-0005-0000-0000-00003D030000}"/>
    <cellStyle name="H_Déf_Copie de 2005_06_23_TdB RRJ-DG FINAL_tdb MAP CAM ATR42 NAV 08-00531-03 2" xfId="1292" xr:uid="{EFFEAA97-2329-4B46-8E09-535C5A7E8519}"/>
    <cellStyle name="H_Déf_Copie de 2005_06_23_TdB RRJ-DG FINAL_TdB-S76-CIS-2010-03 V38 Recup" xfId="801" xr:uid="{00000000-0005-0000-0000-00003E030000}"/>
    <cellStyle name="H_Déf_Copie de 2005_06_23_TdB RRJ-DG FINAL_TdB-S76-CIS-2010-03 V38 Recup 2" xfId="1293" xr:uid="{6E5FEEAC-9203-4814-BEF6-66B3984ACBB0}"/>
    <cellStyle name="H_Déf_DOR C130 map-f-dae-008-fr NAV-08-003164-02 Octobre 2008" xfId="802" xr:uid="{00000000-0005-0000-0000-00003F030000}"/>
    <cellStyle name="H_Déf_DOR FdLIndus RDR -A_V2" xfId="803" xr:uid="{00000000-0005-0000-0000-000040030000}"/>
    <cellStyle name="H_Déf_DOR Integ EAA RC - NRC" xfId="804" xr:uid="{00000000-0005-0000-0000-000041030000}"/>
    <cellStyle name="H_Déf_DOR map-f-dae-008-fr NAV-08-003255-01 Aout 2008" xfId="805" xr:uid="{00000000-0005-0000-0000-000042030000}"/>
    <cellStyle name="H_Déf_DOR Meltem3-ir00" xfId="806" xr:uid="{00000000-0005-0000-0000-000043030000}"/>
    <cellStyle name="H_Déf_DOR RPU-PBU FREMM-SNA 0605 partie I2M SAN-2" xfId="807" xr:uid="{00000000-0005-0000-0000-000044030000}"/>
    <cellStyle name="H_Déf_DOR RPU-PBU FREMM-SNA partie I2M SAN-3 080702" xfId="808" xr:uid="{00000000-0005-0000-0000-000045030000}"/>
    <cellStyle name="H_Déf_DOR SYNTHESE Fremm" xfId="809" xr:uid="{00000000-0005-0000-0000-000046030000}"/>
    <cellStyle name="H_Déf_DOR_1erSerie" xfId="810" xr:uid="{00000000-0005-0000-0000-000047030000}"/>
    <cellStyle name="H_Déf_DOR_EAA7" xfId="811" xr:uid="{00000000-0005-0000-0000-000048030000}"/>
    <cellStyle name="H_Déf_DOR_EAA7_jv08" xfId="812" xr:uid="{00000000-0005-0000-0000-000049030000}"/>
    <cellStyle name="H_Déf_DOR_EAA7_nov07" xfId="813" xr:uid="{00000000-0005-0000-0000-00004A030000}"/>
    <cellStyle name="H_Déf_DOR_EAA7_nov08" xfId="814" xr:uid="{00000000-0005-0000-0000-00004B030000}"/>
    <cellStyle name="H_Déf_DOR_EPS-synthese_EPS-IS et EPTS-Mars 09" xfId="815" xr:uid="{00000000-0005-0000-0000-00004C030000}"/>
    <cellStyle name="H_Déf_DOR_EPTS-synthese programme-Mai 08" xfId="816" xr:uid="{00000000-0005-0000-0000-00004D030000}"/>
    <cellStyle name="H_Déf_DOR_EPTS-synthese-Juillet 08" xfId="817" xr:uid="{00000000-0005-0000-0000-00004E030000}"/>
    <cellStyle name="H_Déf_DOR_EPTS-synthese-Juin 08" xfId="818" xr:uid="{00000000-0005-0000-0000-00004F030000}"/>
    <cellStyle name="H_Déf_DOR_EPTS-synthese-Mai 08" xfId="819" xr:uid="{00000000-0005-0000-0000-000050030000}"/>
    <cellStyle name="H_Déf_DOR_EPTS-synthese-Octobre 08" xfId="820" xr:uid="{00000000-0005-0000-0000-000051030000}"/>
    <cellStyle name="H_Déf_DOR_EPTS-synthese-Septembre 08" xfId="821" xr:uid="{00000000-0005-0000-0000-000052030000}"/>
    <cellStyle name="H_Déf_DOR_ETS-synthese_EPS-IS et EPTS-Janvier 09" xfId="822" xr:uid="{00000000-0005-0000-0000-000053030000}"/>
    <cellStyle name="H_Déf_DOR_indusRdR_nov08" xfId="823" xr:uid="{00000000-0005-0000-0000-000054030000}"/>
    <cellStyle name="H_Déf_DOR_indusRdR_STR" xfId="824" xr:uid="{00000000-0005-0000-0000-000055030000}"/>
    <cellStyle name="H_Déf_DOR_indusRdR_STR_jv08" xfId="825" xr:uid="{00000000-0005-0000-0000-000056030000}"/>
    <cellStyle name="H_Déf_DOR_TASFR00584242-" xfId="826" xr:uid="{00000000-0005-0000-0000-000057030000}"/>
    <cellStyle name="H_Déf_DORV5.1-2.5-EWS-Jan 08_280108" xfId="827" xr:uid="{00000000-0005-0000-0000-000058030000}"/>
    <cellStyle name="H_Déf_IBPM gAC limite 2 feuilles" xfId="828" xr:uid="{00000000-0005-0000-0000-000059030000}"/>
    <cellStyle name="H_Déf_IBPM gAC limite 2 feuilles 2" xfId="829" xr:uid="{00000000-0005-0000-0000-00005A030000}"/>
    <cellStyle name="H_Déf_IBPM gAC limite 2 feuilles 2 2" xfId="830" xr:uid="{00000000-0005-0000-0000-00005B030000}"/>
    <cellStyle name="H_Déf_IBPM gAC limite 2 feuilles_1 - Fiche descriptive" xfId="831" xr:uid="{00000000-0005-0000-0000-00005C030000}"/>
    <cellStyle name="H_Déf_IBPM gAC limite 2 feuilles_5-Charges MO" xfId="832" xr:uid="{00000000-0005-0000-0000-00005D030000}"/>
    <cellStyle name="H_Déf_IBPM gAC limite 2 feuilles_5-Charges MO 2" xfId="1294" xr:uid="{FB9A21D6-4121-451E-B102-2B4A6D3F626E}"/>
    <cellStyle name="H_Déf_IBPM gAC limite 2 feuilles_7 - Recommandations AQ" xfId="833" xr:uid="{00000000-0005-0000-0000-00005E030000}"/>
    <cellStyle name="H_Déf_IBPM gAC limite 2 feuilles_99-2 Baseline Status (ECRs) (2)" xfId="834" xr:uid="{00000000-0005-0000-0000-00005F030000}"/>
    <cellStyle name="H_Déf_IBPM gAC limite 2 feuilles_99-2 Baseline Status (ECRs) (2) 2" xfId="1295" xr:uid="{DA12D096-A308-4866-88A5-22E2B329D1F7}"/>
    <cellStyle name="H_Déf_IBPM gAC limite 2 feuilles_99-3 Formal IVV status (2)" xfId="835" xr:uid="{00000000-0005-0000-0000-000060030000}"/>
    <cellStyle name="H_Déf_IBPM gAC limite 2 feuilles_99-3 Formal IVV status (2) 2" xfId="1296" xr:uid="{0C1CCFB2-F5C3-4C4B-AC39-BC15216FEB65}"/>
    <cellStyle name="H_Déf_IBPM gAC limite 2 feuilles_MAP-F-DAE-025-00-D" xfId="836" xr:uid="{00000000-0005-0000-0000-000061030000}"/>
    <cellStyle name="H_Déf_IBPM gAC limite 2 feuilles_MAP-F-DAE-025-00-D 2" xfId="837" xr:uid="{00000000-0005-0000-0000-000062030000}"/>
    <cellStyle name="H_Déf_IBPM gAC limite 2 feuilles_MAP-F-DAE-025-00-D 2 2" xfId="838" xr:uid="{00000000-0005-0000-0000-000063030000}"/>
    <cellStyle name="H_Déf_IBPM gAC limite 2 feuilles_MAP-S76-AVS-2010-04.new-xls" xfId="839" xr:uid="{00000000-0005-0000-0000-000064030000}"/>
    <cellStyle name="H_Déf_IBPM gAC limite 2 feuilles_MAP-S76-AVS-2010-04.new-xls 2" xfId="1297" xr:uid="{51ADEB6C-417E-4AF2-92CF-31B69FCCB391}"/>
    <cellStyle name="H_Déf_IBPM gAC limite 2 feuilles_Nettoyage_fichier" xfId="840" xr:uid="{00000000-0005-0000-0000-000065030000}"/>
    <cellStyle name="H_Déf_IBPM gAC limite 2 feuilles_Nettoyage_fichier 2" xfId="841" xr:uid="{00000000-0005-0000-0000-000066030000}"/>
    <cellStyle name="H_Déf_IBPM gAC limite 2 feuilles_Nettoyage_fichier 2 2" xfId="842" xr:uid="{00000000-0005-0000-0000-000067030000}"/>
    <cellStyle name="H_Déf_IBPM gAC limite 2 feuilles_TdB 30_04_2010 TASFR00580937AJ-1 THTH" xfId="843" xr:uid="{00000000-0005-0000-0000-000068030000}"/>
    <cellStyle name="H_Déf_IBPM gAC limite 2 feuilles_TdB 30_04_2010 TASFR00580937AJ-1 THTH 2" xfId="844" xr:uid="{00000000-0005-0000-0000-000069030000}"/>
    <cellStyle name="H_Déf_IBPM gAC limite 2 feuilles_TdB-S76-CIS-2010-03 V38 Recup" xfId="845" xr:uid="{00000000-0005-0000-0000-00006A030000}"/>
    <cellStyle name="H_Déf_IBPM gAC limite 2 feuilles_TdB-S76-CIS-2010-03 V38 Recup 2" xfId="1298" xr:uid="{9EC6ED27-8833-4C10-9E9C-3A3B42F6305D}"/>
    <cellStyle name="H_Déf_LINKS_CLEANUP_17" xfId="846" xr:uid="{00000000-0005-0000-0000-00006B030000}"/>
    <cellStyle name="H_Déf_Log Risk" xfId="847" xr:uid="{00000000-0005-0000-0000-00006C030000}"/>
    <cellStyle name="H_Déf_MAP-F-DAE-005-XX_08" xfId="848" xr:uid="{00000000-0005-0000-0000-00006D030000}"/>
    <cellStyle name="H_Déf_MAP-F-DAE-008-F_03 (DOR_V5_2)_PertMaster" xfId="849" xr:uid="{00000000-0005-0000-0000-00006E030000}"/>
    <cellStyle name="H_Déf_Onglets_R_O_TDB_New" xfId="850" xr:uid="{00000000-0005-0000-0000-00006F030000}"/>
    <cellStyle name="H_Déf_P3E_DAE_DASHBOARD_MODULE_V2_12" xfId="851" xr:uid="{00000000-0005-0000-0000-000070030000}"/>
    <cellStyle name="H_Déf_Page de garde" xfId="852" xr:uid="{00000000-0005-0000-0000-000071030000}"/>
    <cellStyle name="H_Déf_Page de garde_ATA_08_4098_DIS-TdB_MAS FSTA _sept_11_ind00" xfId="853" xr:uid="{00000000-0005-0000-0000-000072030000}"/>
    <cellStyle name="H_Déf_RRJ WP4.2 Progress Report-2006-06 IR 04" xfId="854" xr:uid="{00000000-0005-0000-0000-000073030000}"/>
    <cellStyle name="H_Déf_RRJ WP4.2 Progress Report-2006-07 IR 00" xfId="855" xr:uid="{00000000-0005-0000-0000-000074030000}"/>
    <cellStyle name="H_Déf_TdB_FMS2_2006_11_28_MRTT part 1.XLS Graphique 7" xfId="856" xr:uid="{00000000-0005-0000-0000-000075030000}"/>
    <cellStyle name="H_Déf_TdB_FMS2_2006_11_28_MRTT part 1.XLS Graphique 7 2" xfId="857" xr:uid="{00000000-0005-0000-0000-000076030000}"/>
    <cellStyle name="H_Déf_TdB_FMS2_2006_11_28_MRTT part 1.XLS Graphique 7 2 2" xfId="858" xr:uid="{00000000-0005-0000-0000-000077030000}"/>
    <cellStyle name="H_Déf_TdB_FMS2_2006_11_28_MRTT part 1.XLS Graphique 7_1 - Fiche descriptive" xfId="859" xr:uid="{00000000-0005-0000-0000-000078030000}"/>
    <cellStyle name="H_Déf_TdB_FMS2_2006_11_28_MRTT part 1.XLS Graphique 7_5-Charges MO" xfId="860" xr:uid="{00000000-0005-0000-0000-000079030000}"/>
    <cellStyle name="H_Déf_TdB_FMS2_2006_11_28_MRTT part 1.XLS Graphique 7_5-Charges MO 2" xfId="1299" xr:uid="{59E2C80A-055A-427F-A4E8-8FC93FA68843}"/>
    <cellStyle name="H_Déf_TdB_FMS2_2006_11_28_MRTT part 1.XLS Graphique 7_7 - Recommandations AQ" xfId="861" xr:uid="{00000000-0005-0000-0000-00007A030000}"/>
    <cellStyle name="H_Déf_TdB_FMS2_2006_11_28_MRTT part 1.XLS Graphique 7_99-2 Baseline Status (ECRs) (2)" xfId="862" xr:uid="{00000000-0005-0000-0000-00007B030000}"/>
    <cellStyle name="H_Déf_TdB_FMS2_2006_11_28_MRTT part 1.XLS Graphique 7_99-2 Baseline Status (ECRs) (2) 2" xfId="1300" xr:uid="{6F831C4A-3FC2-4E35-9B3F-62D6BE21941E}"/>
    <cellStyle name="H_Déf_TdB_FMS2_2006_11_28_MRTT part 1.XLS Graphique 7_99-3 Formal IVV status (2)" xfId="863" xr:uid="{00000000-0005-0000-0000-00007C030000}"/>
    <cellStyle name="H_Déf_TdB_FMS2_2006_11_28_MRTT part 1.XLS Graphique 7_99-3 Formal IVV status (2) 2" xfId="1301" xr:uid="{355A5A76-F3C2-45D2-9CC7-FD7E5B373E42}"/>
    <cellStyle name="H_Déf_TdB_FMS2_2006_11_28_MRTT part 1.XLS Graphique 7_MAP-F-DAE-025-00-D" xfId="864" xr:uid="{00000000-0005-0000-0000-00007D030000}"/>
    <cellStyle name="H_Déf_TdB_FMS2_2006_11_28_MRTT part 1.XLS Graphique 7_MAP-F-DAE-025-00-D 2" xfId="865" xr:uid="{00000000-0005-0000-0000-00007E030000}"/>
    <cellStyle name="H_Déf_TdB_FMS2_2006_11_28_MRTT part 1.XLS Graphique 7_MAP-F-DAE-025-00-D 2 2" xfId="866" xr:uid="{00000000-0005-0000-0000-00007F030000}"/>
    <cellStyle name="H_Déf_TdB_FMS2_2006_11_28_MRTT part 1.XLS Graphique 7_MAP-S76-AVS-2010-04.new-xls" xfId="867" xr:uid="{00000000-0005-0000-0000-000080030000}"/>
    <cellStyle name="H_Déf_TdB_FMS2_2006_11_28_MRTT part 1.XLS Graphique 7_MAP-S76-AVS-2010-04.new-xls 2" xfId="1302" xr:uid="{80D925B6-38F0-429F-BADC-C20B448DC901}"/>
    <cellStyle name="H_Déf_TdB_FMS2_2006_11_28_MRTT part 1.XLS Graphique 7_Nettoyage_fichier" xfId="868" xr:uid="{00000000-0005-0000-0000-000081030000}"/>
    <cellStyle name="H_Déf_TdB_FMS2_2006_11_28_MRTT part 1.XLS Graphique 7_Nettoyage_fichier 2" xfId="869" xr:uid="{00000000-0005-0000-0000-000082030000}"/>
    <cellStyle name="H_Déf_TdB_FMS2_2006_11_28_MRTT part 1.XLS Graphique 7_Nettoyage_fichier 2 2" xfId="870" xr:uid="{00000000-0005-0000-0000-000083030000}"/>
    <cellStyle name="H_Déf_TdB_FMS2_2006_11_28_MRTT part 1.XLS Graphique 7_TdB 30_04_2010 TASFR00580937AJ-1 THTH" xfId="871" xr:uid="{00000000-0005-0000-0000-000084030000}"/>
    <cellStyle name="H_Déf_TdB_FMS2_2006_11_28_MRTT part 1.XLS Graphique 7_TdB 30_04_2010 TASFR00580937AJ-1 THTH 2" xfId="872" xr:uid="{00000000-0005-0000-0000-000085030000}"/>
    <cellStyle name="H_Déf_TdB_FMS2_2006_11_28_MRTT part 1.XLS Graphique 7_TdB-S76-CIS-2010-03 V38 Recup" xfId="873" xr:uid="{00000000-0005-0000-0000-000086030000}"/>
    <cellStyle name="H_Déf_TdB_FMS2_2006_11_28_MRTT part 1.XLS Graphique 7_TdB-S76-CIS-2010-03 V38 Recup 2" xfId="1303" xr:uid="{7F6B1F87-5EDF-48DB-B6E1-E90A14C46ABE}"/>
    <cellStyle name="Heading 1" xfId="1139" xr:uid="{00000000-0005-0000-0000-000087030000}"/>
    <cellStyle name="Heading 2" xfId="1140" xr:uid="{00000000-0005-0000-0000-000088030000}"/>
    <cellStyle name="Heading 3" xfId="1141" xr:uid="{00000000-0005-0000-0000-000089030000}"/>
    <cellStyle name="Heading 4" xfId="1142" xr:uid="{00000000-0005-0000-0000-00008A030000}"/>
    <cellStyle name="Here" xfId="874" xr:uid="{00000000-0005-0000-0000-00008B030000}"/>
    <cellStyle name="Here 2" xfId="875" xr:uid="{00000000-0005-0000-0000-00008C030000}"/>
    <cellStyle name="Here 2 2" xfId="876" xr:uid="{00000000-0005-0000-0000-00008D030000}"/>
    <cellStyle name="Here_1 - Fiche descriptive" xfId="877" xr:uid="{00000000-0005-0000-0000-00008E030000}"/>
    <cellStyle name="Hyperlink" xfId="878" xr:uid="{00000000-0005-0000-0000-00008F030000}"/>
    <cellStyle name="Hyperlink 2" xfId="879" xr:uid="{00000000-0005-0000-0000-000090030000}"/>
    <cellStyle name="Hyperlink 2 2" xfId="880" xr:uid="{00000000-0005-0000-0000-000091030000}"/>
    <cellStyle name="Hyperlink_1 - Fiche descriptive" xfId="881" xr:uid="{00000000-0005-0000-0000-000092030000}"/>
    <cellStyle name="Insatisfaisant 2" xfId="884" xr:uid="{00000000-0005-0000-0000-000095030000}"/>
    <cellStyle name="item" xfId="885" xr:uid="{00000000-0005-0000-0000-000096030000}"/>
    <cellStyle name="item 2" xfId="886" xr:uid="{00000000-0005-0000-0000-000097030000}"/>
    <cellStyle name="item 2 2" xfId="887" xr:uid="{00000000-0005-0000-0000-000098030000}"/>
    <cellStyle name="item 3" xfId="888" xr:uid="{00000000-0005-0000-0000-000099030000}"/>
    <cellStyle name="item_1 - Fiche descriptive" xfId="889" xr:uid="{00000000-0005-0000-0000-00009A030000}"/>
    <cellStyle name="keuros" xfId="890" xr:uid="{00000000-0005-0000-0000-00009B030000}"/>
    <cellStyle name="l1" xfId="891" xr:uid="{00000000-0005-0000-0000-00009C030000}"/>
    <cellStyle name="l1 2" xfId="892" xr:uid="{00000000-0005-0000-0000-00009D030000}"/>
    <cellStyle name="l1_1 - Fiche descriptive" xfId="893" xr:uid="{00000000-0005-0000-0000-00009E030000}"/>
    <cellStyle name="l2" xfId="894" xr:uid="{00000000-0005-0000-0000-00009F030000}"/>
    <cellStyle name="l3" xfId="895" xr:uid="{00000000-0005-0000-0000-0000A0030000}"/>
    <cellStyle name="l4" xfId="896" xr:uid="{00000000-0005-0000-0000-0000A1030000}"/>
    <cellStyle name="l4 2" xfId="897" xr:uid="{00000000-0005-0000-0000-0000A2030000}"/>
    <cellStyle name="l4 2 2" xfId="898" xr:uid="{00000000-0005-0000-0000-0000A3030000}"/>
    <cellStyle name="l4_1 - Fiche descriptive" xfId="899" xr:uid="{00000000-0005-0000-0000-0000A4030000}"/>
    <cellStyle name="l5" xfId="900" xr:uid="{00000000-0005-0000-0000-0000A5030000}"/>
    <cellStyle name="l5 2" xfId="901" xr:uid="{00000000-0005-0000-0000-0000A6030000}"/>
    <cellStyle name="l5 2 2" xfId="902" xr:uid="{00000000-0005-0000-0000-0000A7030000}"/>
    <cellStyle name="l5_1 - Fiche descriptive" xfId="903" xr:uid="{00000000-0005-0000-0000-0000A8030000}"/>
    <cellStyle name="Lien hypertexte 2" xfId="904" xr:uid="{00000000-0005-0000-0000-0000A9030000}"/>
    <cellStyle name="Lien hypertexte 2 2" xfId="905" xr:uid="{00000000-0005-0000-0000-0000AA030000}"/>
    <cellStyle name="Lien hypertexte 3" xfId="906" xr:uid="{00000000-0005-0000-0000-0000AB030000}"/>
    <cellStyle name="Lien hypertexte 3 2" xfId="907" xr:uid="{00000000-0005-0000-0000-0000AC030000}"/>
    <cellStyle name="Lien hypertexte 3 3" xfId="1304" xr:uid="{4E3B0385-B764-4A67-8656-92CBB5A2245A}"/>
    <cellStyle name="Lien hypertexte 4" xfId="908" xr:uid="{00000000-0005-0000-0000-0000AD030000}"/>
    <cellStyle name="Lien hypertexte 4 2" xfId="1305" xr:uid="{D5450407-B805-47BF-9125-39E0F4306AE8}"/>
    <cellStyle name="Lien hypertexte 5" xfId="909" xr:uid="{00000000-0005-0000-0000-0000AE030000}"/>
    <cellStyle name="Lien hypertexte 6" xfId="910" xr:uid="{00000000-0005-0000-0000-0000AF030000}"/>
    <cellStyle name="Lien hypertexte 6 2" xfId="1306" xr:uid="{3157CAE7-E5F3-4808-A259-1024D05AC903}"/>
    <cellStyle name="Lien_x0018_hypertexte" xfId="911" xr:uid="{00000000-0005-0000-0000-0000B0030000}"/>
    <cellStyle name="Lien_x0018_hypertexte 2" xfId="912" xr:uid="{00000000-0005-0000-0000-0000B1030000}"/>
    <cellStyle name="Masqué" xfId="914" xr:uid="{00000000-0005-0000-0000-0000B3030000}"/>
    <cellStyle name="Masqué 2" xfId="915" xr:uid="{00000000-0005-0000-0000-0000B4030000}"/>
    <cellStyle name="Masqué 2 2" xfId="916" xr:uid="{00000000-0005-0000-0000-0000B5030000}"/>
    <cellStyle name="Masqué 3" xfId="917" xr:uid="{00000000-0005-0000-0000-0000B6030000}"/>
    <cellStyle name="Masqué 3 2" xfId="918" xr:uid="{00000000-0005-0000-0000-0000B7030000}"/>
    <cellStyle name="Masqué 4" xfId="919" xr:uid="{00000000-0005-0000-0000-0000B8030000}"/>
    <cellStyle name="Masqué_1 - Fiche descriptive" xfId="920" xr:uid="{00000000-0005-0000-0000-0000B9030000}"/>
    <cellStyle name="money" xfId="921" xr:uid="{00000000-0005-0000-0000-0000BA030000}"/>
    <cellStyle name="money 2" xfId="922" xr:uid="{00000000-0005-0000-0000-0000BB030000}"/>
    <cellStyle name="money 2 2" xfId="923" xr:uid="{00000000-0005-0000-0000-0000BC030000}"/>
    <cellStyle name="money 3" xfId="924" xr:uid="{00000000-0005-0000-0000-0000BD030000}"/>
    <cellStyle name="money_1 - Fiche descriptive" xfId="925" xr:uid="{00000000-0005-0000-0000-0000BE030000}"/>
    <cellStyle name="Neutral" xfId="926" xr:uid="{00000000-0005-0000-0000-0000BF030000}"/>
    <cellStyle name="Neutre 2" xfId="927" xr:uid="{00000000-0005-0000-0000-0000C1030000}"/>
    <cellStyle name="NEW_equipement" xfId="928" xr:uid="{00000000-0005-0000-0000-0000C2030000}"/>
    <cellStyle name="Niveau_1" xfId="929" xr:uid="{00000000-0005-0000-0000-0000C3030000}"/>
    <cellStyle name="Noeud" xfId="930" xr:uid="{00000000-0005-0000-0000-0000C4030000}"/>
    <cellStyle name="Nom Doc" xfId="931" xr:uid="{00000000-0005-0000-0000-0000C5030000}"/>
    <cellStyle name="nombre" xfId="932" xr:uid="{00000000-0005-0000-0000-0000C6030000}"/>
    <cellStyle name="nombre 2" xfId="933" xr:uid="{00000000-0005-0000-0000-0000C7030000}"/>
    <cellStyle name="nombre_1 - Fiche descriptive" xfId="934" xr:uid="{00000000-0005-0000-0000-0000C8030000}"/>
    <cellStyle name="Noms" xfId="935" xr:uid="{00000000-0005-0000-0000-0000C9030000}"/>
    <cellStyle name="Non défini" xfId="936" xr:uid="{00000000-0005-0000-0000-0000CA030000}"/>
    <cellStyle name="Non défini 2" xfId="937" xr:uid="{00000000-0005-0000-0000-0000CB030000}"/>
    <cellStyle name="Non défini 2 2" xfId="938" xr:uid="{00000000-0005-0000-0000-0000CC030000}"/>
    <cellStyle name="Non défini_1 - Fiche descriptive" xfId="939" xr:uid="{00000000-0005-0000-0000-0000CD030000}"/>
    <cellStyle name="Non modifiable" xfId="940" xr:uid="{00000000-0005-0000-0000-0000CE030000}"/>
    <cellStyle name="Non modifiable 2" xfId="941" xr:uid="{00000000-0005-0000-0000-0000CF030000}"/>
    <cellStyle name="Non modifiable 2 2" xfId="942" xr:uid="{00000000-0005-0000-0000-0000D0030000}"/>
    <cellStyle name="Non modifiable 3" xfId="943" xr:uid="{00000000-0005-0000-0000-0000D1030000}"/>
    <cellStyle name="Non modifiable 3 2" xfId="944" xr:uid="{00000000-0005-0000-0000-0000D2030000}"/>
    <cellStyle name="Non modifiable 4" xfId="945" xr:uid="{00000000-0005-0000-0000-0000D3030000}"/>
    <cellStyle name="Normal 2" xfId="946" xr:uid="{00000000-0005-0000-0000-0000D5030000}"/>
    <cellStyle name="Normal 2 2" xfId="947" xr:uid="{00000000-0005-0000-0000-0000D6030000}"/>
    <cellStyle name="Normal 2 2 2" xfId="948" xr:uid="{00000000-0005-0000-0000-0000D7030000}"/>
    <cellStyle name="Normal 2 3" xfId="949" xr:uid="{00000000-0005-0000-0000-0000D8030000}"/>
    <cellStyle name="Normal 3" xfId="950" xr:uid="{00000000-0005-0000-0000-0000D9030000}"/>
    <cellStyle name="Normal 3 2" xfId="951" xr:uid="{00000000-0005-0000-0000-0000DA030000}"/>
    <cellStyle name="Normal 3 2 2" xfId="1307" xr:uid="{29B876DC-5232-4A22-88A5-030E565BCE92}"/>
    <cellStyle name="Normal 3 2 2 2" xfId="1317" xr:uid="{52DA3CD4-C8EA-4F39-9836-1FF82D628E5E}"/>
    <cellStyle name="Normal 3 2 3" xfId="1315" xr:uid="{799AD7DC-8251-4BF1-B5A7-323716CDE335}"/>
    <cellStyle name="Normal 4" xfId="952" xr:uid="{00000000-0005-0000-0000-0000DB030000}"/>
    <cellStyle name="Normal 5" xfId="953" xr:uid="{00000000-0005-0000-0000-0000DC030000}"/>
    <cellStyle name="Normal 5 2" xfId="1308" xr:uid="{DE3F61F3-A2A5-4BA8-91EB-C31D3FF0B07E}"/>
    <cellStyle name="Normal 5 2 2" xfId="1318" xr:uid="{689931A7-9F5F-497F-8A2B-044E88F0886D}"/>
    <cellStyle name="Normal 5 3" xfId="1316" xr:uid="{1459879A-DCEB-4253-AB9F-2DF59B46D6D8}"/>
    <cellStyle name="Normal 97" xfId="954" xr:uid="{00000000-0005-0000-0000-0000DD030000}"/>
    <cellStyle name="Normal_2 - Evènements clés 2" xfId="955" xr:uid="{00000000-0005-0000-0000-0000DE030000}"/>
    <cellStyle name="Normal_87201044-MGPR-GRP-EN-Draft002-Project_reporting_template_b_20110121" xfId="956" xr:uid="{00000000-0005-0000-0000-0000DF030000}"/>
    <cellStyle name="Normal_87201044-MGPR-GRP-EN-Draft002-Project_reporting_template_b_20110121 2" xfId="957" xr:uid="{00000000-0005-0000-0000-0000E0030000}"/>
    <cellStyle name="Normal_Maquette_TDB4" xfId="958" xr:uid="{00000000-0005-0000-0000-0000E1030000}"/>
    <cellStyle name="Normal_Maquette_TDB4 2" xfId="959" xr:uid="{00000000-0005-0000-0000-0000E2030000}"/>
    <cellStyle name="Normal_Project reporting template-87201044-MGPR-GRP-EN- 2" xfId="960" xr:uid="{00000000-0005-0000-0000-0000E3030000}"/>
    <cellStyle name="Normal_Solution_Monitoring_Dashboard_File 2" xfId="961" xr:uid="{00000000-0005-0000-0000-0000E4030000}"/>
    <cellStyle name="Notiz" xfId="962" builtinId="10" customBuiltin="1"/>
    <cellStyle name="obsolete" xfId="963" xr:uid="{00000000-0005-0000-0000-0000E5030000}"/>
    <cellStyle name="one" xfId="964" xr:uid="{00000000-0005-0000-0000-0000E6030000}"/>
    <cellStyle name="Output" xfId="1113" xr:uid="{00000000-0005-0000-0000-0000E7030000}"/>
    <cellStyle name="pepin" xfId="965" xr:uid="{00000000-0005-0000-0000-0000E8030000}"/>
    <cellStyle name="pepin 2" xfId="966" xr:uid="{00000000-0005-0000-0000-0000E9030000}"/>
    <cellStyle name="pepin_1 - Fiche descriptive" xfId="967" xr:uid="{00000000-0005-0000-0000-0000EA030000}"/>
    <cellStyle name="Pound" xfId="968" xr:uid="{00000000-0005-0000-0000-0000EC030000}"/>
    <cellStyle name="Pound 2" xfId="969" xr:uid="{00000000-0005-0000-0000-0000ED030000}"/>
    <cellStyle name="Pound 2 2" xfId="970" xr:uid="{00000000-0005-0000-0000-0000EE030000}"/>
    <cellStyle name="Pound 3" xfId="971" xr:uid="{00000000-0005-0000-0000-0000EF030000}"/>
    <cellStyle name="Pound_1 - Fiche descriptive" xfId="972" xr:uid="{00000000-0005-0000-0000-0000F0030000}"/>
    <cellStyle name="Pound12" xfId="973" xr:uid="{00000000-0005-0000-0000-0000F1030000}"/>
    <cellStyle name="Pourcentage 2" xfId="974" xr:uid="{00000000-0005-0000-0000-0000F2030000}"/>
    <cellStyle name="Pourcentage 2 2" xfId="975" xr:uid="{00000000-0005-0000-0000-0000F3030000}"/>
    <cellStyle name="Pourcentage 3" xfId="976" xr:uid="{00000000-0005-0000-0000-0000F4030000}"/>
    <cellStyle name="Pourcentage 4" xfId="977" xr:uid="{00000000-0005-0000-0000-0000F5030000}"/>
    <cellStyle name="Pourcentage 4 2" xfId="1309" xr:uid="{19FD9B53-8516-4C2C-85E9-387F952CF670}"/>
    <cellStyle name="Pourcentage 5" xfId="978" xr:uid="{00000000-0005-0000-0000-0000F6030000}"/>
    <cellStyle name="Pourcentage 5 2" xfId="979" xr:uid="{00000000-0005-0000-0000-0000F7030000}"/>
    <cellStyle name="Pourcentage entier" xfId="980" xr:uid="{00000000-0005-0000-0000-0000F8030000}"/>
    <cellStyle name="PSChar" xfId="981" xr:uid="{00000000-0005-0000-0000-0000F9030000}"/>
    <cellStyle name="PSChar 2" xfId="982" xr:uid="{00000000-0005-0000-0000-0000FA030000}"/>
    <cellStyle name="PSChar 2 2" xfId="983" xr:uid="{00000000-0005-0000-0000-0000FB030000}"/>
    <cellStyle name="PSDate" xfId="984" xr:uid="{00000000-0005-0000-0000-0000FC030000}"/>
    <cellStyle name="PSDate 2" xfId="985" xr:uid="{00000000-0005-0000-0000-0000FD030000}"/>
    <cellStyle name="PSDate 2 2" xfId="986" xr:uid="{00000000-0005-0000-0000-0000FE030000}"/>
    <cellStyle name="PSDec" xfId="987" xr:uid="{00000000-0005-0000-0000-0000FF030000}"/>
    <cellStyle name="PSDec 2" xfId="988" xr:uid="{00000000-0005-0000-0000-000000040000}"/>
    <cellStyle name="PSDec 2 2" xfId="989" xr:uid="{00000000-0005-0000-0000-000001040000}"/>
    <cellStyle name="PSHeading" xfId="990" xr:uid="{00000000-0005-0000-0000-000002040000}"/>
    <cellStyle name="PSHeading 2" xfId="991" xr:uid="{00000000-0005-0000-0000-000003040000}"/>
    <cellStyle name="PSHeading 2 2" xfId="992" xr:uid="{00000000-0005-0000-0000-000004040000}"/>
    <cellStyle name="PSHeading_1 - Fiche descriptive" xfId="993" xr:uid="{00000000-0005-0000-0000-000005040000}"/>
    <cellStyle name="PSInt" xfId="994" xr:uid="{00000000-0005-0000-0000-000006040000}"/>
    <cellStyle name="PSInt 2" xfId="995" xr:uid="{00000000-0005-0000-0000-000007040000}"/>
    <cellStyle name="PSInt 2 2" xfId="996" xr:uid="{00000000-0005-0000-0000-000008040000}"/>
    <cellStyle name="PSSpacer" xfId="997" xr:uid="{00000000-0005-0000-0000-000009040000}"/>
    <cellStyle name="PSSpacer 2" xfId="998" xr:uid="{00000000-0005-0000-0000-00000A040000}"/>
    <cellStyle name="PSSpacer 2 2" xfId="999" xr:uid="{00000000-0005-0000-0000-00000B040000}"/>
    <cellStyle name="Qty" xfId="1000" xr:uid="{00000000-0005-0000-0000-00000C040000}"/>
    <cellStyle name="Qty 2" xfId="1001" xr:uid="{00000000-0005-0000-0000-00000D040000}"/>
    <cellStyle name="Qty 2 2" xfId="1002" xr:uid="{00000000-0005-0000-0000-00000E040000}"/>
    <cellStyle name="Qty 3" xfId="1003" xr:uid="{00000000-0005-0000-0000-00000F040000}"/>
    <cellStyle name="Qty_1 - Fiche descriptive" xfId="1004" xr:uid="{00000000-0005-0000-0000-000010040000}"/>
    <cellStyle name="Réduction" xfId="1005" xr:uid="{00000000-0005-0000-0000-000011040000}"/>
    <cellStyle name="SAPBEXaggData" xfId="1006" xr:uid="{00000000-0005-0000-0000-000012040000}"/>
    <cellStyle name="SAPBEXaggData 2" xfId="1007" xr:uid="{00000000-0005-0000-0000-000013040000}"/>
    <cellStyle name="SAPBEXaggData 2 2" xfId="1008" xr:uid="{00000000-0005-0000-0000-000014040000}"/>
    <cellStyle name="SAPBEXaggData_1 - Fiche descriptive" xfId="1009" xr:uid="{00000000-0005-0000-0000-000015040000}"/>
    <cellStyle name="SAPBEXaggDataEmph" xfId="1010" xr:uid="{00000000-0005-0000-0000-000016040000}"/>
    <cellStyle name="SAPBEXaggDataEmph 2" xfId="1011" xr:uid="{00000000-0005-0000-0000-000017040000}"/>
    <cellStyle name="SAPBEXaggDataEmph 2 2" xfId="1012" xr:uid="{00000000-0005-0000-0000-000018040000}"/>
    <cellStyle name="SAPBEXaggDataEmph_1 - Fiche descriptive" xfId="1013" xr:uid="{00000000-0005-0000-0000-000019040000}"/>
    <cellStyle name="SAPBEXaggItem" xfId="1014" xr:uid="{00000000-0005-0000-0000-00001A040000}"/>
    <cellStyle name="SAPBEXaggItem 2" xfId="1015" xr:uid="{00000000-0005-0000-0000-00001B040000}"/>
    <cellStyle name="SAPBEXaggItem 2 2" xfId="1016" xr:uid="{00000000-0005-0000-0000-00001C040000}"/>
    <cellStyle name="SAPBEXaggItem_1 - Fiche descriptive" xfId="1017" xr:uid="{00000000-0005-0000-0000-00001D040000}"/>
    <cellStyle name="SAPBEXchaText" xfId="1018" xr:uid="{00000000-0005-0000-0000-00001E040000}"/>
    <cellStyle name="SAPBEXchaText 2" xfId="1019" xr:uid="{00000000-0005-0000-0000-00001F040000}"/>
    <cellStyle name="SAPBEXchaText 2 2" xfId="1020" xr:uid="{00000000-0005-0000-0000-000020040000}"/>
    <cellStyle name="SAPBEXchaText_1 - Fiche descriptive" xfId="1021" xr:uid="{00000000-0005-0000-0000-000021040000}"/>
    <cellStyle name="SAPBEXexcBad7" xfId="1022" xr:uid="{00000000-0005-0000-0000-000022040000}"/>
    <cellStyle name="SAPBEXexcBad7 2" xfId="1023" xr:uid="{00000000-0005-0000-0000-000023040000}"/>
    <cellStyle name="SAPBEXexcBad7 2 2" xfId="1024" xr:uid="{00000000-0005-0000-0000-000024040000}"/>
    <cellStyle name="SAPBEXexcBad7_1 - Fiche descriptive" xfId="1025" xr:uid="{00000000-0005-0000-0000-000025040000}"/>
    <cellStyle name="SAPBEXexcBad8" xfId="1026" xr:uid="{00000000-0005-0000-0000-000026040000}"/>
    <cellStyle name="SAPBEXexcBad8 2" xfId="1027" xr:uid="{00000000-0005-0000-0000-000027040000}"/>
    <cellStyle name="SAPBEXexcBad8 2 2" xfId="1028" xr:uid="{00000000-0005-0000-0000-000028040000}"/>
    <cellStyle name="SAPBEXexcBad8_1 - Fiche descriptive" xfId="1029" xr:uid="{00000000-0005-0000-0000-000029040000}"/>
    <cellStyle name="SAPBEXexcBad9" xfId="1030" xr:uid="{00000000-0005-0000-0000-00002A040000}"/>
    <cellStyle name="SAPBEXexcBad9 2" xfId="1031" xr:uid="{00000000-0005-0000-0000-00002B040000}"/>
    <cellStyle name="SAPBEXexcBad9 2 2" xfId="1032" xr:uid="{00000000-0005-0000-0000-00002C040000}"/>
    <cellStyle name="SAPBEXexcBad9_1 - Fiche descriptive" xfId="1033" xr:uid="{00000000-0005-0000-0000-00002D040000}"/>
    <cellStyle name="SAPBEXexcCritical4" xfId="1034" xr:uid="{00000000-0005-0000-0000-00002E040000}"/>
    <cellStyle name="SAPBEXexcCritical4 2" xfId="1035" xr:uid="{00000000-0005-0000-0000-00002F040000}"/>
    <cellStyle name="SAPBEXexcCritical4 2 2" xfId="1036" xr:uid="{00000000-0005-0000-0000-000030040000}"/>
    <cellStyle name="SAPBEXexcCritical4_1 - Fiche descriptive" xfId="1037" xr:uid="{00000000-0005-0000-0000-000031040000}"/>
    <cellStyle name="SAPBEXexcCritical5" xfId="1038" xr:uid="{00000000-0005-0000-0000-000032040000}"/>
    <cellStyle name="SAPBEXexcCritical5 2" xfId="1039" xr:uid="{00000000-0005-0000-0000-000033040000}"/>
    <cellStyle name="SAPBEXexcCritical5 2 2" xfId="1040" xr:uid="{00000000-0005-0000-0000-000034040000}"/>
    <cellStyle name="SAPBEXexcCritical5_1 - Fiche descriptive" xfId="1041" xr:uid="{00000000-0005-0000-0000-000035040000}"/>
    <cellStyle name="SAPBEXexcCritical6" xfId="1042" xr:uid="{00000000-0005-0000-0000-000036040000}"/>
    <cellStyle name="SAPBEXexcCritical6 2" xfId="1043" xr:uid="{00000000-0005-0000-0000-000037040000}"/>
    <cellStyle name="SAPBEXexcCritical6 2 2" xfId="1044" xr:uid="{00000000-0005-0000-0000-000038040000}"/>
    <cellStyle name="SAPBEXexcCritical6_1 - Fiche descriptive" xfId="1045" xr:uid="{00000000-0005-0000-0000-000039040000}"/>
    <cellStyle name="SAPBEXexcGood1" xfId="1046" xr:uid="{00000000-0005-0000-0000-00003A040000}"/>
    <cellStyle name="SAPBEXexcGood1 2" xfId="1047" xr:uid="{00000000-0005-0000-0000-00003B040000}"/>
    <cellStyle name="SAPBEXexcGood1 2 2" xfId="1048" xr:uid="{00000000-0005-0000-0000-00003C040000}"/>
    <cellStyle name="SAPBEXexcGood1_1 - Fiche descriptive" xfId="1049" xr:uid="{00000000-0005-0000-0000-00003D040000}"/>
    <cellStyle name="SAPBEXexcGood2" xfId="1050" xr:uid="{00000000-0005-0000-0000-00003E040000}"/>
    <cellStyle name="SAPBEXexcGood2 2" xfId="1051" xr:uid="{00000000-0005-0000-0000-00003F040000}"/>
    <cellStyle name="SAPBEXexcGood2 2 2" xfId="1052" xr:uid="{00000000-0005-0000-0000-000040040000}"/>
    <cellStyle name="SAPBEXexcGood2_1 - Fiche descriptive" xfId="1053" xr:uid="{00000000-0005-0000-0000-000041040000}"/>
    <cellStyle name="SAPBEXexcGood3" xfId="1054" xr:uid="{00000000-0005-0000-0000-000042040000}"/>
    <cellStyle name="SAPBEXexcGood3 2" xfId="1055" xr:uid="{00000000-0005-0000-0000-000043040000}"/>
    <cellStyle name="SAPBEXexcGood3 2 2" xfId="1056" xr:uid="{00000000-0005-0000-0000-000044040000}"/>
    <cellStyle name="SAPBEXexcGood3_1 - Fiche descriptive" xfId="1057" xr:uid="{00000000-0005-0000-0000-000045040000}"/>
    <cellStyle name="SAPBEXfilterDrill" xfId="1058" xr:uid="{00000000-0005-0000-0000-000046040000}"/>
    <cellStyle name="SAPBEXfilterDrill 2" xfId="1059" xr:uid="{00000000-0005-0000-0000-000047040000}"/>
    <cellStyle name="SAPBEXfilterDrill 2 2" xfId="1060" xr:uid="{00000000-0005-0000-0000-000048040000}"/>
    <cellStyle name="SAPBEXfilterDrill 2 2 2" xfId="1312" xr:uid="{2C62C57D-0610-416F-88CB-9477D0479CCD}"/>
    <cellStyle name="SAPBEXfilterDrill 2 3" xfId="1311" xr:uid="{51DBF75C-4C92-422A-9DC9-EF82BA41C4C6}"/>
    <cellStyle name="SAPBEXfilterDrill 3" xfId="1310" xr:uid="{30FA1BE6-D6A5-42AF-A3E0-1164014D375C}"/>
    <cellStyle name="SAPBEXfilterDrill_1 - Fiche descriptive" xfId="1061" xr:uid="{00000000-0005-0000-0000-000049040000}"/>
    <cellStyle name="SAPBEXfilterItem" xfId="1062" xr:uid="{00000000-0005-0000-0000-00004A040000}"/>
    <cellStyle name="SAPBEXfilterItem 2" xfId="1063" xr:uid="{00000000-0005-0000-0000-00004B040000}"/>
    <cellStyle name="SAPBEXfilterItem 2 2" xfId="1064" xr:uid="{00000000-0005-0000-0000-00004C040000}"/>
    <cellStyle name="SAPBEXfilterItem_1 - Fiche descriptive" xfId="1065" xr:uid="{00000000-0005-0000-0000-00004D040000}"/>
    <cellStyle name="SAPBEXfilterText" xfId="1066" xr:uid="{00000000-0005-0000-0000-00004E040000}"/>
    <cellStyle name="SAPBEXfilterText 2" xfId="1067" xr:uid="{00000000-0005-0000-0000-00004F040000}"/>
    <cellStyle name="SAPBEXfilterText 2 2" xfId="1068" xr:uid="{00000000-0005-0000-0000-000050040000}"/>
    <cellStyle name="SAPBEXfilterText_1 - Fiche descriptive" xfId="1069" xr:uid="{00000000-0005-0000-0000-000051040000}"/>
    <cellStyle name="SAPBEXformats" xfId="1070" xr:uid="{00000000-0005-0000-0000-000052040000}"/>
    <cellStyle name="SAPBEXformats 2" xfId="1071" xr:uid="{00000000-0005-0000-0000-000053040000}"/>
    <cellStyle name="SAPBEXformats 2 2" xfId="1072" xr:uid="{00000000-0005-0000-0000-000054040000}"/>
    <cellStyle name="SAPBEXformats_1 - Fiche descriptive" xfId="1073" xr:uid="{00000000-0005-0000-0000-000055040000}"/>
    <cellStyle name="SAPBEXheaderItem" xfId="1074" xr:uid="{00000000-0005-0000-0000-000056040000}"/>
    <cellStyle name="SAPBEXheaderItem 2" xfId="1075" xr:uid="{00000000-0005-0000-0000-000057040000}"/>
    <cellStyle name="SAPBEXheaderItem 2 2" xfId="1076" xr:uid="{00000000-0005-0000-0000-000058040000}"/>
    <cellStyle name="SAPBEXheaderItem_1 - Fiche descriptive" xfId="1077" xr:uid="{00000000-0005-0000-0000-000059040000}"/>
    <cellStyle name="SAPBEXheaderText" xfId="1078" xr:uid="{00000000-0005-0000-0000-00005A040000}"/>
    <cellStyle name="SAPBEXheaderText 2" xfId="1079" xr:uid="{00000000-0005-0000-0000-00005B040000}"/>
    <cellStyle name="SAPBEXheaderText 2 2" xfId="1080" xr:uid="{00000000-0005-0000-0000-00005C040000}"/>
    <cellStyle name="SAPBEXheaderText_1 - Fiche descriptive" xfId="1081" xr:uid="{00000000-0005-0000-0000-00005D040000}"/>
    <cellStyle name="SAPBEXresData" xfId="1082" xr:uid="{00000000-0005-0000-0000-00005E040000}"/>
    <cellStyle name="SAPBEXresData 2" xfId="1083" xr:uid="{00000000-0005-0000-0000-00005F040000}"/>
    <cellStyle name="SAPBEXresData 2 2" xfId="1084" xr:uid="{00000000-0005-0000-0000-000060040000}"/>
    <cellStyle name="SAPBEXresData_1 - Fiche descriptive" xfId="1085" xr:uid="{00000000-0005-0000-0000-000061040000}"/>
    <cellStyle name="SAPBEXresDataEmph" xfId="1086" xr:uid="{00000000-0005-0000-0000-000062040000}"/>
    <cellStyle name="SAPBEXresDataEmph 2" xfId="1087" xr:uid="{00000000-0005-0000-0000-000063040000}"/>
    <cellStyle name="SAPBEXresDataEmph 2 2" xfId="1088" xr:uid="{00000000-0005-0000-0000-000064040000}"/>
    <cellStyle name="SAPBEXresDataEmph_1 - Fiche descriptive" xfId="1089" xr:uid="{00000000-0005-0000-0000-000065040000}"/>
    <cellStyle name="SAPBEXresItem" xfId="1090" xr:uid="{00000000-0005-0000-0000-000066040000}"/>
    <cellStyle name="SAPBEXresItem 2" xfId="1091" xr:uid="{00000000-0005-0000-0000-000067040000}"/>
    <cellStyle name="SAPBEXresItem 2 2" xfId="1092" xr:uid="{00000000-0005-0000-0000-000068040000}"/>
    <cellStyle name="SAPBEXresItem_1 - Fiche descriptive" xfId="1093" xr:uid="{00000000-0005-0000-0000-000069040000}"/>
    <cellStyle name="SAPBEXstdData" xfId="1094" xr:uid="{00000000-0005-0000-0000-00006A040000}"/>
    <cellStyle name="SAPBEXstdDataEmph" xfId="1095" xr:uid="{00000000-0005-0000-0000-00006B040000}"/>
    <cellStyle name="SAPBEXstdDataEmph 2" xfId="1096" xr:uid="{00000000-0005-0000-0000-00006C040000}"/>
    <cellStyle name="SAPBEXstdDataEmph 2 2" xfId="1097" xr:uid="{00000000-0005-0000-0000-00006D040000}"/>
    <cellStyle name="SAPBEXstdDataEmph_1 - Fiche descriptive" xfId="1098" xr:uid="{00000000-0005-0000-0000-00006E040000}"/>
    <cellStyle name="SAPBEXstdItem" xfId="1099" xr:uid="{00000000-0005-0000-0000-00006F040000}"/>
    <cellStyle name="SAPBEXstdItem 2" xfId="1100" xr:uid="{00000000-0005-0000-0000-000070040000}"/>
    <cellStyle name="SAPBEXstdItem 2 2" xfId="1101" xr:uid="{00000000-0005-0000-0000-000071040000}"/>
    <cellStyle name="SAPBEXstdItem_1 - Fiche descriptive" xfId="1102" xr:uid="{00000000-0005-0000-0000-000072040000}"/>
    <cellStyle name="SAPBEXtitle" xfId="1103" xr:uid="{00000000-0005-0000-0000-000073040000}"/>
    <cellStyle name="SAPBEXtitle 2" xfId="1104" xr:uid="{00000000-0005-0000-0000-000074040000}"/>
    <cellStyle name="SAPBEXtitle 2 2" xfId="1105" xr:uid="{00000000-0005-0000-0000-000075040000}"/>
    <cellStyle name="SAPBEXtitle_1 - Fiche descriptive" xfId="1106" xr:uid="{00000000-0005-0000-0000-000076040000}"/>
    <cellStyle name="SAPBEXundefined" xfId="1107" xr:uid="{00000000-0005-0000-0000-000077040000}"/>
    <cellStyle name="SAPBEXundefined 2" xfId="1108" xr:uid="{00000000-0005-0000-0000-000078040000}"/>
    <cellStyle name="SAPBEXundefined 2 2" xfId="1109" xr:uid="{00000000-0005-0000-0000-000079040000}"/>
    <cellStyle name="SAPBEXundefined_1 - Fiche descriptive" xfId="1110" xr:uid="{00000000-0005-0000-0000-00007A040000}"/>
    <cellStyle name="Satisfaisant 2" xfId="1112" xr:uid="{00000000-0005-0000-0000-00007C040000}"/>
    <cellStyle name="Sortie 2" xfId="1114" xr:uid="{00000000-0005-0000-0000-00007E040000}"/>
    <cellStyle name="Standard" xfId="0" builtinId="0"/>
    <cellStyle name="StationEach" xfId="1115" xr:uid="{00000000-0005-0000-0000-00007F040000}"/>
    <cellStyle name="StationTot" xfId="1116" xr:uid="{00000000-0005-0000-0000-000080040000}"/>
    <cellStyle name="Style 1" xfId="1117" xr:uid="{00000000-0005-0000-0000-000081040000}"/>
    <cellStyle name="Style 1 2" xfId="1118" xr:uid="{00000000-0005-0000-0000-000082040000}"/>
    <cellStyle name="StyleJour" xfId="1119" xr:uid="{00000000-0005-0000-0000-000083040000}"/>
    <cellStyle name="StyleJour 2" xfId="1120" xr:uid="{00000000-0005-0000-0000-000084040000}"/>
    <cellStyle name="StyleJour 2 2" xfId="1121" xr:uid="{00000000-0005-0000-0000-000085040000}"/>
    <cellStyle name="StyleJour 3" xfId="1122" xr:uid="{00000000-0005-0000-0000-000086040000}"/>
    <cellStyle name="StyleJour_1 - Fiche descriptive" xfId="1123" xr:uid="{00000000-0005-0000-0000-000087040000}"/>
    <cellStyle name="styleTitreHorizontal" xfId="1124" xr:uid="{00000000-0005-0000-0000-000088040000}"/>
    <cellStyle name="styleTitreHorizontal 2" xfId="1125" xr:uid="{00000000-0005-0000-0000-000089040000}"/>
    <cellStyle name="styleTitreHorizontal_1 - Fiche descriptive" xfId="1126" xr:uid="{00000000-0005-0000-0000-00008A040000}"/>
    <cellStyle name="styleTitreVertical" xfId="1127" xr:uid="{00000000-0005-0000-0000-00008B040000}"/>
    <cellStyle name="styleTitreVertical 2" xfId="1128" xr:uid="{00000000-0005-0000-0000-00008C040000}"/>
    <cellStyle name="styleTitreVertical_1 - Fiche descriptive" xfId="1129" xr:uid="{00000000-0005-0000-0000-00008D040000}"/>
    <cellStyle name="SubTot" xfId="1130" xr:uid="{00000000-0005-0000-0000-00008E040000}"/>
    <cellStyle name="Subtoteqsheet" xfId="1131" xr:uid="{00000000-0005-0000-0000-00008F040000}"/>
    <cellStyle name="Subtoteqsheet 2" xfId="1132" xr:uid="{00000000-0005-0000-0000-000090040000}"/>
    <cellStyle name="Subtoteqsheet 2 2" xfId="1314" xr:uid="{79B3A886-DC7C-417B-B2F4-79B5C6C7AE57}"/>
    <cellStyle name="Subtoteqsheet 3" xfId="1313" xr:uid="{ED6BB213-CA52-4254-8B9D-CE3B824284D9}"/>
    <cellStyle name="temp" xfId="1133" xr:uid="{00000000-0005-0000-0000-000091040000}"/>
    <cellStyle name="Times" xfId="1135" xr:uid="{00000000-0005-0000-0000-000093040000}"/>
    <cellStyle name="Title" xfId="1136" xr:uid="{00000000-0005-0000-0000-000094040000}"/>
    <cellStyle name="Titre 1" xfId="1137" xr:uid="{00000000-0005-0000-0000-000096040000}"/>
    <cellStyle name="titre ital 32" xfId="1138" xr:uid="{00000000-0005-0000-0000-000097040000}"/>
    <cellStyle name="TitreSérie" xfId="1143" xr:uid="{00000000-0005-0000-0000-00009C040000}"/>
    <cellStyle name="TitreSérie 2" xfId="1144" xr:uid="{00000000-0005-0000-0000-00009D040000}"/>
    <cellStyle name="TitreSérie 3" xfId="1145" xr:uid="{00000000-0005-0000-0000-00009E040000}"/>
    <cellStyle name="TitreSérie 3 2" xfId="1146" xr:uid="{00000000-0005-0000-0000-00009F040000}"/>
    <cellStyle name="TitreSérie 4" xfId="1147" xr:uid="{00000000-0005-0000-0000-0000A0040000}"/>
    <cellStyle name="TitreSérie 5" xfId="1148" xr:uid="{00000000-0005-0000-0000-0000A1040000}"/>
    <cellStyle name="TitreSérie_1 - Fiche descriptive" xfId="1149" xr:uid="{00000000-0005-0000-0000-0000A2040000}"/>
    <cellStyle name="TypeDonnée" xfId="1151" xr:uid="{00000000-0005-0000-0000-0000A4040000}"/>
    <cellStyle name="TypeDonnée 2" xfId="1152" xr:uid="{00000000-0005-0000-0000-0000A5040000}"/>
    <cellStyle name="TypeDonnée 2 2" xfId="1153" xr:uid="{00000000-0005-0000-0000-0000A6040000}"/>
    <cellStyle name="TypeDonnée 3" xfId="1154" xr:uid="{00000000-0005-0000-0000-0000A7040000}"/>
    <cellStyle name="TypeDonnée 3 2" xfId="1155" xr:uid="{00000000-0005-0000-0000-0000A8040000}"/>
    <cellStyle name="TypeDonnée 4" xfId="1156" xr:uid="{00000000-0005-0000-0000-0000A9040000}"/>
    <cellStyle name="TypeDonnée_1 - Fiche descriptive" xfId="1157" xr:uid="{00000000-0005-0000-0000-0000AA040000}"/>
    <cellStyle name="Variation" xfId="1158" xr:uid="{00000000-0005-0000-0000-0000AB040000}"/>
    <cellStyle name="Variation 2" xfId="1159" xr:uid="{00000000-0005-0000-0000-0000AC040000}"/>
    <cellStyle name="Variation 2 2" xfId="1160" xr:uid="{00000000-0005-0000-0000-0000AD040000}"/>
    <cellStyle name="Variation 3" xfId="1161" xr:uid="{00000000-0005-0000-0000-0000AE040000}"/>
    <cellStyle name="Variation 3 2" xfId="1162" xr:uid="{00000000-0005-0000-0000-0000AF040000}"/>
    <cellStyle name="Variation 4" xfId="1163" xr:uid="{00000000-0005-0000-0000-0000B0040000}"/>
    <cellStyle name="Variation_1 - Fiche descriptive" xfId="1164" xr:uid="{00000000-0005-0000-0000-0000B1040000}"/>
    <cellStyle name="Vérification 2" xfId="1166" xr:uid="{00000000-0005-0000-0000-0000B3040000}"/>
    <cellStyle name="Verknüpfte Zelle" xfId="913" builtinId="24" customBuiltin="1"/>
    <cellStyle name="Warnender Text" xfId="1167" builtinId="11" customBuiltin="1"/>
    <cellStyle name="Обычный_2.1 GANTT" xfId="1168" xr:uid="{00000000-0005-0000-0000-0000B5040000}"/>
    <cellStyle name="標準_Application List with Client Dependencies DSL" xfId="1169" xr:uid="{00000000-0005-0000-0000-0000B6040000}"/>
  </cellStyles>
  <dxfs count="9">
    <dxf>
      <font>
        <b/>
        <i val="0"/>
        <condense val="0"/>
        <extend val="0"/>
      </font>
      <fill>
        <patternFill>
          <bgColor indexed="41"/>
        </patternFill>
      </fill>
    </dxf>
    <dxf>
      <fill>
        <patternFill>
          <bgColor indexed="47"/>
        </patternFill>
      </fill>
    </dxf>
    <dxf>
      <fill>
        <patternFill>
          <bgColor indexed="42"/>
        </patternFill>
      </fill>
    </dxf>
    <dxf>
      <font>
        <b/>
        <i val="0"/>
        <condense val="0"/>
        <extend val="0"/>
      </font>
      <fill>
        <patternFill>
          <bgColor indexed="41"/>
        </patternFill>
      </fill>
    </dxf>
    <dxf>
      <fill>
        <patternFill>
          <bgColor indexed="47"/>
        </patternFill>
      </fill>
    </dxf>
    <dxf>
      <fill>
        <patternFill>
          <bgColor indexed="42"/>
        </patternFill>
      </fill>
    </dxf>
    <dxf>
      <font>
        <b/>
        <i val="0"/>
        <condense val="0"/>
        <extend val="0"/>
      </font>
      <fill>
        <patternFill>
          <bgColor indexed="41"/>
        </patternFill>
      </fill>
    </dxf>
    <dxf>
      <fill>
        <patternFill>
          <bgColor indexed="47"/>
        </patternFill>
      </fill>
    </dxf>
    <dxf>
      <fill>
        <patternFill>
          <bgColor indexed="4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39922"/>
      <rgbColor rgb="00800080"/>
      <rgbColor rgb="00008080"/>
      <rgbColor rgb="00C0C0C0"/>
      <rgbColor rgb="00808080"/>
      <rgbColor rgb="00989CFC"/>
      <rgbColor rgb="009F375A"/>
      <rgbColor rgb="00FFFFCC"/>
      <rgbColor rgb="00CCFFFF"/>
      <rgbColor rgb="00660066"/>
      <rgbColor rgb="00FF8080"/>
      <rgbColor rgb="000066CC"/>
      <rgbColor rgb="00CCCCFF"/>
      <rgbColor rgb="00EFEF8F"/>
      <rgbColor rgb="00CC9CCC"/>
      <rgbColor rgb="00FFC000"/>
      <rgbColor rgb="007FB2FF"/>
      <rgbColor rgb="00BFBFBF"/>
      <rgbColor rgb="00FFCC66"/>
      <rgbColor rgb="00488DB6"/>
      <rgbColor rgb="00D9D9D9"/>
      <rgbColor rgb="0000CCFF"/>
      <rgbColor rgb="00DFDFD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C0C0FF"/>
      <rgbColor rgb="00F79646"/>
      <rgbColor rgb="00993300"/>
      <rgbColor rgb="00DB843D"/>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1</xdr:col>
      <xdr:colOff>236220</xdr:colOff>
      <xdr:row>0</xdr:row>
      <xdr:rowOff>94877</xdr:rowOff>
    </xdr:from>
    <xdr:to>
      <xdr:col>10</xdr:col>
      <xdr:colOff>668537</xdr:colOff>
      <xdr:row>2</xdr:row>
      <xdr:rowOff>45995</xdr:rowOff>
    </xdr:to>
    <xdr:sp macro="" textlink="">
      <xdr:nvSpPr>
        <xdr:cNvPr id="3" name="Text Box 7">
          <a:extLst>
            <a:ext uri="{FF2B5EF4-FFF2-40B4-BE49-F238E27FC236}">
              <a16:creationId xmlns:a16="http://schemas.microsoft.com/office/drawing/2014/main" id="{00000000-0008-0000-0000-000003000000}"/>
            </a:ext>
          </a:extLst>
        </xdr:cNvPr>
        <xdr:cNvSpPr txBox="1">
          <a:spLocks noChangeArrowheads="1"/>
        </xdr:cNvSpPr>
      </xdr:nvSpPr>
      <xdr:spPr bwMode="auto">
        <a:xfrm>
          <a:off x="340659" y="94877"/>
          <a:ext cx="7518026" cy="27249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32004" rIns="36576" bIns="0" anchor="t" upright="1"/>
        <a:lstStyle/>
        <a:p>
          <a:pPr algn="ctr" rtl="0">
            <a:defRPr sz="1000"/>
          </a:pPr>
          <a:r>
            <a:rPr lang="fr-FR" sz="1600" b="1" i="0" u="none" strike="noStrike" baseline="0">
              <a:solidFill>
                <a:srgbClr val="000000"/>
              </a:solidFill>
              <a:latin typeface="Arial"/>
              <a:cs typeface="Arial"/>
            </a:rPr>
            <a:t>Dossier de pilotage de projet ; Identification Projet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525345</xdr:colOff>
      <xdr:row>0</xdr:row>
      <xdr:rowOff>0</xdr:rowOff>
    </xdr:from>
    <xdr:to>
      <xdr:col>5</xdr:col>
      <xdr:colOff>1380067</xdr:colOff>
      <xdr:row>2</xdr:row>
      <xdr:rowOff>181535</xdr:rowOff>
    </xdr:to>
    <xdr:sp macro="" textlink="" fLocksText="0">
      <xdr:nvSpPr>
        <xdr:cNvPr id="2" name="Text Box 34">
          <a:extLst>
            <a:ext uri="{FF2B5EF4-FFF2-40B4-BE49-F238E27FC236}">
              <a16:creationId xmlns:a16="http://schemas.microsoft.com/office/drawing/2014/main" id="{00000000-0008-0000-0100-000002000000}"/>
            </a:ext>
          </a:extLst>
        </xdr:cNvPr>
        <xdr:cNvSpPr txBox="1">
          <a:spLocks noChangeArrowheads="1"/>
        </xdr:cNvSpPr>
      </xdr:nvSpPr>
      <xdr:spPr bwMode="auto">
        <a:xfrm>
          <a:off x="525345" y="0"/>
          <a:ext cx="10659122" cy="511735"/>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808080"/>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45720" tIns="36360" rIns="45720" bIns="0" anchor="t"/>
        <a:lstStyle/>
        <a:p>
          <a:pPr algn="ctr" rtl="0">
            <a:defRPr sz="1000"/>
          </a:pPr>
          <a:r>
            <a:rPr lang="fr-FR" sz="1800" b="1" i="0" u="none" strike="noStrike" baseline="0">
              <a:solidFill>
                <a:srgbClr val="000000"/>
              </a:solidFill>
              <a:latin typeface="Arial"/>
              <a:cs typeface="Arial"/>
            </a:rPr>
            <a:t>Besoin Capturé</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231291</xdr:colOff>
      <xdr:row>0</xdr:row>
      <xdr:rowOff>71269</xdr:rowOff>
    </xdr:from>
    <xdr:to>
      <xdr:col>9</xdr:col>
      <xdr:colOff>708660</xdr:colOff>
      <xdr:row>2</xdr:row>
      <xdr:rowOff>63645</xdr:rowOff>
    </xdr:to>
    <xdr:sp macro="" textlink="">
      <xdr:nvSpPr>
        <xdr:cNvPr id="4" name="Text Box 2">
          <a:extLst>
            <a:ext uri="{FF2B5EF4-FFF2-40B4-BE49-F238E27FC236}">
              <a16:creationId xmlns:a16="http://schemas.microsoft.com/office/drawing/2014/main" id="{00000000-0008-0000-0300-000004000000}"/>
            </a:ext>
          </a:extLst>
        </xdr:cNvPr>
        <xdr:cNvSpPr txBox="1">
          <a:spLocks noChangeArrowheads="1"/>
        </xdr:cNvSpPr>
      </xdr:nvSpPr>
      <xdr:spPr bwMode="auto">
        <a:xfrm>
          <a:off x="345591" y="71269"/>
          <a:ext cx="6756249" cy="3733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Organisation Breakdown Structure (OBS)</a:t>
          </a:r>
        </a:p>
      </xdr:txBody>
    </xdr:sp>
    <xdr:clientData/>
  </xdr:twoCellAnchor>
  <xdr:twoCellAnchor>
    <xdr:from>
      <xdr:col>8</xdr:col>
      <xdr:colOff>89497</xdr:colOff>
      <xdr:row>13</xdr:row>
      <xdr:rowOff>67833</xdr:rowOff>
    </xdr:from>
    <xdr:to>
      <xdr:col>10</xdr:col>
      <xdr:colOff>77665</xdr:colOff>
      <xdr:row>16</xdr:row>
      <xdr:rowOff>129548</xdr:rowOff>
    </xdr:to>
    <xdr:sp macro="" textlink="">
      <xdr:nvSpPr>
        <xdr:cNvPr id="3" name="Rectangle 2">
          <a:extLst>
            <a:ext uri="{FF2B5EF4-FFF2-40B4-BE49-F238E27FC236}">
              <a16:creationId xmlns:a16="http://schemas.microsoft.com/office/drawing/2014/main" id="{428445F0-A24E-434C-BCA8-B34A84E022B0}"/>
            </a:ext>
          </a:extLst>
        </xdr:cNvPr>
        <xdr:cNvSpPr/>
      </xdr:nvSpPr>
      <xdr:spPr>
        <a:xfrm>
          <a:off x="5697817" y="2277633"/>
          <a:ext cx="1557888" cy="56463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t>Responsable Projet (RP)</a:t>
          </a:r>
        </a:p>
        <a:p>
          <a:pPr algn="ctr">
            <a:lnSpc>
              <a:spcPts val="1200"/>
            </a:lnSpc>
          </a:pPr>
          <a:r>
            <a:rPr lang="en-150" sz="1100"/>
            <a:t>Gihalu Russel</a:t>
          </a:r>
          <a:endParaRPr lang="fr-FR" sz="1100"/>
        </a:p>
      </xdr:txBody>
    </xdr:sp>
    <xdr:clientData/>
  </xdr:twoCellAnchor>
  <xdr:twoCellAnchor>
    <xdr:from>
      <xdr:col>8</xdr:col>
      <xdr:colOff>92636</xdr:colOff>
      <xdr:row>33</xdr:row>
      <xdr:rowOff>144937</xdr:rowOff>
    </xdr:from>
    <xdr:to>
      <xdr:col>10</xdr:col>
      <xdr:colOff>80804</xdr:colOff>
      <xdr:row>37</xdr:row>
      <xdr:rowOff>42299</xdr:rowOff>
    </xdr:to>
    <xdr:sp macro="" textlink="">
      <xdr:nvSpPr>
        <xdr:cNvPr id="5" name="Rectangle 4">
          <a:extLst>
            <a:ext uri="{FF2B5EF4-FFF2-40B4-BE49-F238E27FC236}">
              <a16:creationId xmlns:a16="http://schemas.microsoft.com/office/drawing/2014/main" id="{B0E5DE93-7AD4-42F6-88FC-86A091C2FCCD}"/>
            </a:ext>
          </a:extLst>
        </xdr:cNvPr>
        <xdr:cNvSpPr/>
      </xdr:nvSpPr>
      <xdr:spPr>
        <a:xfrm>
          <a:off x="11194976" y="9730897"/>
          <a:ext cx="1557888" cy="567922"/>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en-150" sz="1100"/>
            <a:t>Responsable</a:t>
          </a:r>
          <a:r>
            <a:rPr lang="en-150" sz="1100" baseline="0"/>
            <a:t> Tests</a:t>
          </a:r>
          <a:endParaRPr lang="fr-FR" sz="1100"/>
        </a:p>
        <a:p>
          <a:pPr algn="ctr">
            <a:lnSpc>
              <a:spcPts val="1200"/>
            </a:lnSpc>
          </a:pPr>
          <a:r>
            <a:rPr lang="en-150" sz="1100"/>
            <a:t>Gihalu Russel (DR)</a:t>
          </a:r>
          <a:endParaRPr lang="fr-FR" sz="1100"/>
        </a:p>
      </xdr:txBody>
    </xdr:sp>
    <xdr:clientData/>
  </xdr:twoCellAnchor>
  <xdr:twoCellAnchor>
    <xdr:from>
      <xdr:col>11</xdr:col>
      <xdr:colOff>558806</xdr:colOff>
      <xdr:row>33</xdr:row>
      <xdr:rowOff>147923</xdr:rowOff>
    </xdr:from>
    <xdr:to>
      <xdr:col>13</xdr:col>
      <xdr:colOff>546974</xdr:colOff>
      <xdr:row>37</xdr:row>
      <xdr:rowOff>45285</xdr:rowOff>
    </xdr:to>
    <xdr:sp macro="" textlink="">
      <xdr:nvSpPr>
        <xdr:cNvPr id="7" name="Rectangle 6">
          <a:extLst>
            <a:ext uri="{FF2B5EF4-FFF2-40B4-BE49-F238E27FC236}">
              <a16:creationId xmlns:a16="http://schemas.microsoft.com/office/drawing/2014/main" id="{5A0952CF-73F7-4FB0-B58D-82206727D6B7}"/>
            </a:ext>
          </a:extLst>
        </xdr:cNvPr>
        <xdr:cNvSpPr/>
      </xdr:nvSpPr>
      <xdr:spPr>
        <a:xfrm>
          <a:off x="14015726" y="9733883"/>
          <a:ext cx="1557888" cy="567922"/>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t>D</a:t>
          </a:r>
          <a:r>
            <a:rPr lang="en-150" sz="1100"/>
            <a:t>éveloppeur</a:t>
          </a:r>
        </a:p>
        <a:p>
          <a:pPr algn="ctr">
            <a:lnSpc>
              <a:spcPts val="1100"/>
            </a:lnSpc>
          </a:pPr>
          <a:r>
            <a:rPr lang="en-150" sz="1100"/>
            <a:t>Wassim</a:t>
          </a:r>
          <a:r>
            <a:rPr lang="en-150" sz="1100" baseline="0"/>
            <a:t> Gaha (DW)</a:t>
          </a:r>
          <a:endParaRPr lang="fr-FR" sz="1100"/>
        </a:p>
      </xdr:txBody>
    </xdr:sp>
    <xdr:clientData/>
  </xdr:twoCellAnchor>
  <xdr:twoCellAnchor>
    <xdr:from>
      <xdr:col>4</xdr:col>
      <xdr:colOff>434780</xdr:colOff>
      <xdr:row>33</xdr:row>
      <xdr:rowOff>158386</xdr:rowOff>
    </xdr:from>
    <xdr:to>
      <xdr:col>6</xdr:col>
      <xdr:colOff>422947</xdr:colOff>
      <xdr:row>37</xdr:row>
      <xdr:rowOff>55748</xdr:rowOff>
    </xdr:to>
    <xdr:sp macro="" textlink="">
      <xdr:nvSpPr>
        <xdr:cNvPr id="8" name="Rectangle 7">
          <a:extLst>
            <a:ext uri="{FF2B5EF4-FFF2-40B4-BE49-F238E27FC236}">
              <a16:creationId xmlns:a16="http://schemas.microsoft.com/office/drawing/2014/main" id="{18DCA027-32F2-492E-ABA1-BCF97D596D3C}"/>
            </a:ext>
          </a:extLst>
        </xdr:cNvPr>
        <xdr:cNvSpPr/>
      </xdr:nvSpPr>
      <xdr:spPr>
        <a:xfrm>
          <a:off x="8397680" y="9744346"/>
          <a:ext cx="1557887" cy="567922"/>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en-150" sz="1100"/>
            <a:t>Responsable</a:t>
          </a:r>
          <a:r>
            <a:rPr lang="en-150" sz="1100" baseline="0"/>
            <a:t> partie algorithmique</a:t>
          </a:r>
          <a:endParaRPr lang="fr-FR" sz="1100"/>
        </a:p>
        <a:p>
          <a:pPr algn="ctr">
            <a:lnSpc>
              <a:spcPts val="1200"/>
            </a:lnSpc>
          </a:pPr>
          <a:r>
            <a:rPr lang="en-150" sz="1100"/>
            <a:t>Dunant</a:t>
          </a:r>
          <a:r>
            <a:rPr lang="en-150" sz="1100" baseline="0"/>
            <a:t> Tonfack (DD)</a:t>
          </a:r>
          <a:endParaRPr lang="fr-FR" sz="1100"/>
        </a:p>
      </xdr:txBody>
    </xdr:sp>
    <xdr:clientData/>
  </xdr:twoCellAnchor>
  <xdr:twoCellAnchor>
    <xdr:from>
      <xdr:col>5</xdr:col>
      <xdr:colOff>428864</xdr:colOff>
      <xdr:row>28</xdr:row>
      <xdr:rowOff>100107</xdr:rowOff>
    </xdr:from>
    <xdr:to>
      <xdr:col>9</xdr:col>
      <xdr:colOff>85911</xdr:colOff>
      <xdr:row>33</xdr:row>
      <xdr:rowOff>158386</xdr:rowOff>
    </xdr:to>
    <xdr:cxnSp macro="">
      <xdr:nvCxnSpPr>
        <xdr:cNvPr id="12" name="Connecteur : en angle 14">
          <a:extLst>
            <a:ext uri="{FF2B5EF4-FFF2-40B4-BE49-F238E27FC236}">
              <a16:creationId xmlns:a16="http://schemas.microsoft.com/office/drawing/2014/main" id="{5F8093EC-23E4-47D3-ACF4-4E18C6DEDFE2}"/>
            </a:ext>
          </a:extLst>
        </xdr:cNvPr>
        <xdr:cNvCxnSpPr>
          <a:stCxn id="8" idx="0"/>
          <a:endCxn id="33" idx="4"/>
        </xdr:cNvCxnSpPr>
      </xdr:nvCxnSpPr>
      <xdr:spPr bwMode="auto">
        <a:xfrm rot="5400000" flipH="1" flipV="1">
          <a:off x="10126628" y="7897863"/>
          <a:ext cx="896479" cy="2796487"/>
        </a:xfrm>
        <a:prstGeom prst="bentConnector3">
          <a:avLst>
            <a:gd name="adj1" fmla="val 50000"/>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9</xdr:col>
      <xdr:colOff>85912</xdr:colOff>
      <xdr:row>28</xdr:row>
      <xdr:rowOff>100107</xdr:rowOff>
    </xdr:from>
    <xdr:to>
      <xdr:col>9</xdr:col>
      <xdr:colOff>86722</xdr:colOff>
      <xdr:row>33</xdr:row>
      <xdr:rowOff>144937</xdr:rowOff>
    </xdr:to>
    <xdr:cxnSp macro="">
      <xdr:nvCxnSpPr>
        <xdr:cNvPr id="13" name="Connecteur : en angle 16">
          <a:extLst>
            <a:ext uri="{FF2B5EF4-FFF2-40B4-BE49-F238E27FC236}">
              <a16:creationId xmlns:a16="http://schemas.microsoft.com/office/drawing/2014/main" id="{F753A053-70F6-489F-ADA9-55E4E207A28C}"/>
            </a:ext>
          </a:extLst>
        </xdr:cNvPr>
        <xdr:cNvCxnSpPr>
          <a:stCxn id="5" idx="0"/>
          <a:endCxn id="33" idx="4"/>
        </xdr:cNvCxnSpPr>
      </xdr:nvCxnSpPr>
      <xdr:spPr bwMode="auto">
        <a:xfrm rot="16200000" flipV="1">
          <a:off x="11532002" y="9288977"/>
          <a:ext cx="883030" cy="810"/>
        </a:xfrm>
        <a:prstGeom prst="bentConnector3">
          <a:avLst>
            <a:gd name="adj1" fmla="val 50000"/>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9</xdr:col>
      <xdr:colOff>85912</xdr:colOff>
      <xdr:row>28</xdr:row>
      <xdr:rowOff>100107</xdr:rowOff>
    </xdr:from>
    <xdr:to>
      <xdr:col>12</xdr:col>
      <xdr:colOff>552891</xdr:colOff>
      <xdr:row>33</xdr:row>
      <xdr:rowOff>147923</xdr:rowOff>
    </xdr:to>
    <xdr:cxnSp macro="">
      <xdr:nvCxnSpPr>
        <xdr:cNvPr id="14" name="Connecteur : en angle 18">
          <a:extLst>
            <a:ext uri="{FF2B5EF4-FFF2-40B4-BE49-F238E27FC236}">
              <a16:creationId xmlns:a16="http://schemas.microsoft.com/office/drawing/2014/main" id="{54F6A8C5-6C2F-496F-87E3-CC3980AF07D3}"/>
            </a:ext>
          </a:extLst>
        </xdr:cNvPr>
        <xdr:cNvCxnSpPr>
          <a:stCxn id="7" idx="0"/>
          <a:endCxn id="33" idx="4"/>
        </xdr:cNvCxnSpPr>
      </xdr:nvCxnSpPr>
      <xdr:spPr bwMode="auto">
        <a:xfrm rot="16200000" flipV="1">
          <a:off x="12940884" y="7880095"/>
          <a:ext cx="886016" cy="2821559"/>
        </a:xfrm>
        <a:prstGeom prst="bentConnector3">
          <a:avLst>
            <a:gd name="adj1" fmla="val 50000"/>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4</xdr:col>
      <xdr:colOff>742129</xdr:colOff>
      <xdr:row>19</xdr:row>
      <xdr:rowOff>37917</xdr:rowOff>
    </xdr:from>
    <xdr:to>
      <xdr:col>7</xdr:col>
      <xdr:colOff>89901</xdr:colOff>
      <xdr:row>22</xdr:row>
      <xdr:rowOff>92533</xdr:rowOff>
    </xdr:to>
    <xdr:sp macro="" textlink="">
      <xdr:nvSpPr>
        <xdr:cNvPr id="16" name="Rectangle 15">
          <a:extLst>
            <a:ext uri="{FF2B5EF4-FFF2-40B4-BE49-F238E27FC236}">
              <a16:creationId xmlns:a16="http://schemas.microsoft.com/office/drawing/2014/main" id="{8D46A851-8C6B-4789-AD5F-A35CD86F51B4}"/>
            </a:ext>
          </a:extLst>
        </xdr:cNvPr>
        <xdr:cNvSpPr/>
      </xdr:nvSpPr>
      <xdr:spPr>
        <a:xfrm>
          <a:off x="3211009" y="3253557"/>
          <a:ext cx="1702352" cy="55753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t>Responsable Client</a:t>
          </a:r>
        </a:p>
        <a:p>
          <a:pPr algn="ctr"/>
          <a:r>
            <a:rPr lang="fr-FR" sz="1100"/>
            <a:t>Mr.</a:t>
          </a:r>
          <a:r>
            <a:rPr lang="fr-FR" sz="1100" baseline="0"/>
            <a:t> VINCENT DUGAT</a:t>
          </a:r>
          <a:endParaRPr lang="fr-FR" sz="1100"/>
        </a:p>
      </xdr:txBody>
    </xdr:sp>
    <xdr:clientData/>
  </xdr:twoCellAnchor>
  <xdr:twoCellAnchor>
    <xdr:from>
      <xdr:col>8</xdr:col>
      <xdr:colOff>164351</xdr:colOff>
      <xdr:row>24</xdr:row>
      <xdr:rowOff>22414</xdr:rowOff>
    </xdr:from>
    <xdr:to>
      <xdr:col>10</xdr:col>
      <xdr:colOff>7469</xdr:colOff>
      <xdr:row>28</xdr:row>
      <xdr:rowOff>100107</xdr:rowOff>
    </xdr:to>
    <xdr:sp macro="" textlink="">
      <xdr:nvSpPr>
        <xdr:cNvPr id="33" name="Ellipse 34">
          <a:extLst>
            <a:ext uri="{FF2B5EF4-FFF2-40B4-BE49-F238E27FC236}">
              <a16:creationId xmlns:a16="http://schemas.microsoft.com/office/drawing/2014/main" id="{CF47D68C-E578-4DA7-940F-DE6F2B550C81}"/>
            </a:ext>
          </a:extLst>
        </xdr:cNvPr>
        <xdr:cNvSpPr/>
      </xdr:nvSpPr>
      <xdr:spPr bwMode="auto">
        <a:xfrm>
          <a:off x="11266691" y="8099614"/>
          <a:ext cx="1412838" cy="748253"/>
        </a:xfrm>
        <a:prstGeom prst="ellipse">
          <a:avLst/>
        </a:prstGeom>
        <a:solidFill>
          <a:schemeClr val="accent4">
            <a:lumMod val="75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ctr"/>
          <a:r>
            <a:rPr lang="en-150" sz="1100">
              <a:solidFill>
                <a:schemeClr val="bg1"/>
              </a:solidFill>
            </a:rPr>
            <a:t>Tâches</a:t>
          </a:r>
          <a:r>
            <a:rPr lang="en-150" sz="1100" baseline="0">
              <a:solidFill>
                <a:schemeClr val="bg1"/>
              </a:solidFill>
            </a:rPr>
            <a:t> répartis équitablement</a:t>
          </a:r>
          <a:endParaRPr lang="en-US" sz="1100">
            <a:solidFill>
              <a:schemeClr val="bg1"/>
            </a:solidFill>
          </a:endParaRPr>
        </a:p>
      </xdr:txBody>
    </xdr:sp>
    <xdr:clientData/>
  </xdr:twoCellAnchor>
  <xdr:twoCellAnchor>
    <xdr:from>
      <xdr:col>9</xdr:col>
      <xdr:colOff>83581</xdr:colOff>
      <xdr:row>16</xdr:row>
      <xdr:rowOff>129548</xdr:rowOff>
    </xdr:from>
    <xdr:to>
      <xdr:col>9</xdr:col>
      <xdr:colOff>85910</xdr:colOff>
      <xdr:row>24</xdr:row>
      <xdr:rowOff>22414</xdr:rowOff>
    </xdr:to>
    <xdr:cxnSp macro="">
      <xdr:nvCxnSpPr>
        <xdr:cNvPr id="36" name="Connecteur droit avec flèche 45">
          <a:extLst>
            <a:ext uri="{FF2B5EF4-FFF2-40B4-BE49-F238E27FC236}">
              <a16:creationId xmlns:a16="http://schemas.microsoft.com/office/drawing/2014/main" id="{224C871D-8F71-4587-B49B-26C7959BA922}"/>
            </a:ext>
          </a:extLst>
        </xdr:cNvPr>
        <xdr:cNvCxnSpPr>
          <a:stCxn id="33" idx="0"/>
          <a:endCxn id="3" idx="2"/>
        </xdr:cNvCxnSpPr>
      </xdr:nvCxnSpPr>
      <xdr:spPr bwMode="auto">
        <a:xfrm flipH="1" flipV="1">
          <a:off x="6476761" y="2842268"/>
          <a:ext cx="2329" cy="1233986"/>
        </a:xfrm>
        <a:prstGeom prst="straightConnector1">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6</xdr:col>
      <xdr:colOff>615476</xdr:colOff>
      <xdr:row>9</xdr:row>
      <xdr:rowOff>15987</xdr:rowOff>
    </xdr:from>
    <xdr:to>
      <xdr:col>12</xdr:col>
      <xdr:colOff>224117</xdr:colOff>
      <xdr:row>11</xdr:row>
      <xdr:rowOff>61422</xdr:rowOff>
    </xdr:to>
    <xdr:sp macro="" textlink="">
      <xdr:nvSpPr>
        <xdr:cNvPr id="37" name="ZoneTexte 39">
          <a:extLst>
            <a:ext uri="{FF2B5EF4-FFF2-40B4-BE49-F238E27FC236}">
              <a16:creationId xmlns:a16="http://schemas.microsoft.com/office/drawing/2014/main" id="{73F6A0D3-EEE0-42B5-8920-8ED338AB0B48}"/>
            </a:ext>
          </a:extLst>
        </xdr:cNvPr>
        <xdr:cNvSpPr txBox="1"/>
      </xdr:nvSpPr>
      <xdr:spPr>
        <a:xfrm>
          <a:off x="10148096" y="5578587"/>
          <a:ext cx="4317801" cy="380715"/>
        </a:xfrm>
        <a:prstGeom prst="rect">
          <a:avLst/>
        </a:prstGeom>
        <a:noFill/>
      </xdr:spPr>
      <xdr:txBody>
        <a:bodyPr wrap="square" rtlCol="0">
          <a:spAutoFit/>
        </a:bodyPr>
        <a:lstStyle>
          <a:defPPr>
            <a:defRPr lang="fr-FR"/>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n-150"/>
            <a:t>Organisation</a:t>
          </a:r>
          <a:r>
            <a:rPr lang="en-150" baseline="0"/>
            <a:t> Breakdown Structure (OBS)</a:t>
          </a:r>
          <a:endParaRPr lang="fr-FR"/>
        </a:p>
      </xdr:txBody>
    </xdr:sp>
    <xdr:clientData/>
  </xdr:twoCellAnchor>
  <xdr:twoCellAnchor>
    <xdr:from>
      <xdr:col>4</xdr:col>
      <xdr:colOff>777240</xdr:colOff>
      <xdr:row>23</xdr:row>
      <xdr:rowOff>114300</xdr:rowOff>
    </xdr:from>
    <xdr:to>
      <xdr:col>7</xdr:col>
      <xdr:colOff>125012</xdr:colOff>
      <xdr:row>27</xdr:row>
      <xdr:rowOff>1276</xdr:rowOff>
    </xdr:to>
    <xdr:sp macro="" textlink="">
      <xdr:nvSpPr>
        <xdr:cNvPr id="2" name="Rectangle 15">
          <a:extLst>
            <a:ext uri="{FF2B5EF4-FFF2-40B4-BE49-F238E27FC236}">
              <a16:creationId xmlns:a16="http://schemas.microsoft.com/office/drawing/2014/main" id="{27B4151F-5262-4AD5-84AD-7589740AAC4B}"/>
            </a:ext>
          </a:extLst>
        </xdr:cNvPr>
        <xdr:cNvSpPr/>
      </xdr:nvSpPr>
      <xdr:spPr>
        <a:xfrm>
          <a:off x="3246120" y="4000500"/>
          <a:ext cx="1702352" cy="55753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t>Responsable Client</a:t>
          </a:r>
        </a:p>
        <a:p>
          <a:pPr algn="ctr"/>
          <a:r>
            <a:rPr lang="fr-FR" sz="1100"/>
            <a:t>Mr.</a:t>
          </a:r>
          <a:r>
            <a:rPr lang="fr-FR" sz="1100" baseline="0"/>
            <a:t> GILLES LEPINARD</a:t>
          </a:r>
          <a:endParaRPr lang="fr-FR" sz="1100"/>
        </a:p>
      </xdr:txBody>
    </xdr:sp>
    <xdr:clientData/>
  </xdr:twoCellAnchor>
  <xdr:twoCellAnchor>
    <xdr:from>
      <xdr:col>6</xdr:col>
      <xdr:colOff>76200</xdr:colOff>
      <xdr:row>15</xdr:row>
      <xdr:rowOff>14871</xdr:rowOff>
    </xdr:from>
    <xdr:to>
      <xdr:col>8</xdr:col>
      <xdr:colOff>89497</xdr:colOff>
      <xdr:row>15</xdr:row>
      <xdr:rowOff>15240</xdr:rowOff>
    </xdr:to>
    <xdr:cxnSp macro="">
      <xdr:nvCxnSpPr>
        <xdr:cNvPr id="22" name="Gerader Verbinder 21">
          <a:extLst>
            <a:ext uri="{FF2B5EF4-FFF2-40B4-BE49-F238E27FC236}">
              <a16:creationId xmlns:a16="http://schemas.microsoft.com/office/drawing/2014/main" id="{C2710304-EBF8-B456-8AD4-E6D0DA803A1F}"/>
            </a:ext>
          </a:extLst>
        </xdr:cNvPr>
        <xdr:cNvCxnSpPr>
          <a:endCxn id="3" idx="1"/>
        </xdr:cNvCxnSpPr>
      </xdr:nvCxnSpPr>
      <xdr:spPr bwMode="auto">
        <a:xfrm flipV="1">
          <a:off x="4114800" y="2559951"/>
          <a:ext cx="1583017" cy="369"/>
        </a:xfrm>
        <a:prstGeom prst="line">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3</xdr:col>
      <xdr:colOff>723900</xdr:colOff>
      <xdr:row>13</xdr:row>
      <xdr:rowOff>114300</xdr:rowOff>
    </xdr:from>
    <xdr:to>
      <xdr:col>6</xdr:col>
      <xdr:colOff>71672</xdr:colOff>
      <xdr:row>17</xdr:row>
      <xdr:rowOff>1276</xdr:rowOff>
    </xdr:to>
    <xdr:sp macro="" textlink="">
      <xdr:nvSpPr>
        <xdr:cNvPr id="24" name="Rectangle 15">
          <a:extLst>
            <a:ext uri="{FF2B5EF4-FFF2-40B4-BE49-F238E27FC236}">
              <a16:creationId xmlns:a16="http://schemas.microsoft.com/office/drawing/2014/main" id="{E443E7F2-7697-4EC2-B651-54FE3A813BE8}"/>
            </a:ext>
          </a:extLst>
        </xdr:cNvPr>
        <xdr:cNvSpPr/>
      </xdr:nvSpPr>
      <xdr:spPr>
        <a:xfrm>
          <a:off x="2407920" y="2324100"/>
          <a:ext cx="1702352" cy="55753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t>Parties</a:t>
          </a:r>
          <a:r>
            <a:rPr lang="fr-FR" sz="1100" baseline="0"/>
            <a:t> prenantes</a:t>
          </a:r>
          <a:endParaRPr lang="fr-FR" sz="1100"/>
        </a:p>
      </xdr:txBody>
    </xdr:sp>
    <xdr:clientData/>
  </xdr:twoCellAnchor>
  <xdr:twoCellAnchor>
    <xdr:from>
      <xdr:col>4</xdr:col>
      <xdr:colOff>266700</xdr:colOff>
      <xdr:row>16</xdr:row>
      <xdr:rowOff>160020</xdr:rowOff>
    </xdr:from>
    <xdr:to>
      <xdr:col>4</xdr:col>
      <xdr:colOff>274320</xdr:colOff>
      <xdr:row>25</xdr:row>
      <xdr:rowOff>76200</xdr:rowOff>
    </xdr:to>
    <xdr:cxnSp macro="">
      <xdr:nvCxnSpPr>
        <xdr:cNvPr id="30" name="Gerade Verbindung mit Pfeil 29">
          <a:extLst>
            <a:ext uri="{FF2B5EF4-FFF2-40B4-BE49-F238E27FC236}">
              <a16:creationId xmlns:a16="http://schemas.microsoft.com/office/drawing/2014/main" id="{9D5490C9-251A-36C4-8931-74AB7F7EA1AA}"/>
            </a:ext>
          </a:extLst>
        </xdr:cNvPr>
        <xdr:cNvCxnSpPr/>
      </xdr:nvCxnSpPr>
      <xdr:spPr bwMode="auto">
        <a:xfrm flipH="1" flipV="1">
          <a:off x="2735580" y="2872740"/>
          <a:ext cx="7620" cy="1424940"/>
        </a:xfrm>
        <a:prstGeom prst="straightConnector1">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4</xdr:col>
      <xdr:colOff>281940</xdr:colOff>
      <xdr:row>25</xdr:row>
      <xdr:rowOff>57788</xdr:rowOff>
    </xdr:from>
    <xdr:to>
      <xdr:col>4</xdr:col>
      <xdr:colOff>777240</xdr:colOff>
      <xdr:row>25</xdr:row>
      <xdr:rowOff>68580</xdr:rowOff>
    </xdr:to>
    <xdr:cxnSp macro="">
      <xdr:nvCxnSpPr>
        <xdr:cNvPr id="34" name="Gerader Verbinder 33">
          <a:extLst>
            <a:ext uri="{FF2B5EF4-FFF2-40B4-BE49-F238E27FC236}">
              <a16:creationId xmlns:a16="http://schemas.microsoft.com/office/drawing/2014/main" id="{A21A9A39-9028-12FD-A50F-034CA225FE70}"/>
            </a:ext>
          </a:extLst>
        </xdr:cNvPr>
        <xdr:cNvCxnSpPr>
          <a:endCxn id="2" idx="1"/>
        </xdr:cNvCxnSpPr>
      </xdr:nvCxnSpPr>
      <xdr:spPr bwMode="auto">
        <a:xfrm flipV="1">
          <a:off x="2750820" y="4279268"/>
          <a:ext cx="495300" cy="10792"/>
        </a:xfrm>
        <a:prstGeom prst="line">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4</xdr:col>
      <xdr:colOff>266700</xdr:colOff>
      <xdr:row>20</xdr:row>
      <xdr:rowOff>149045</xdr:rowOff>
    </xdr:from>
    <xdr:to>
      <xdr:col>4</xdr:col>
      <xdr:colOff>742129</xdr:colOff>
      <xdr:row>20</xdr:row>
      <xdr:rowOff>152400</xdr:rowOff>
    </xdr:to>
    <xdr:cxnSp macro="">
      <xdr:nvCxnSpPr>
        <xdr:cNvPr id="40" name="Gerader Verbinder 39">
          <a:extLst>
            <a:ext uri="{FF2B5EF4-FFF2-40B4-BE49-F238E27FC236}">
              <a16:creationId xmlns:a16="http://schemas.microsoft.com/office/drawing/2014/main" id="{E62DA534-B20C-76E7-4F47-E00561AE4824}"/>
            </a:ext>
          </a:extLst>
        </xdr:cNvPr>
        <xdr:cNvCxnSpPr>
          <a:stCxn id="16" idx="1"/>
        </xdr:cNvCxnSpPr>
      </xdr:nvCxnSpPr>
      <xdr:spPr bwMode="auto">
        <a:xfrm flipH="1">
          <a:off x="2735580" y="3532325"/>
          <a:ext cx="475429" cy="3355"/>
        </a:xfrm>
        <a:prstGeom prst="line">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86511</xdr:colOff>
      <xdr:row>0</xdr:row>
      <xdr:rowOff>48409</xdr:rowOff>
    </xdr:from>
    <xdr:to>
      <xdr:col>9</xdr:col>
      <xdr:colOff>739140</xdr:colOff>
      <xdr:row>2</xdr:row>
      <xdr:rowOff>40785</xdr:rowOff>
    </xdr:to>
    <xdr:sp macro="" textlink="">
      <xdr:nvSpPr>
        <xdr:cNvPr id="2" name="Text Box 2">
          <a:extLst>
            <a:ext uri="{FF2B5EF4-FFF2-40B4-BE49-F238E27FC236}">
              <a16:creationId xmlns:a16="http://schemas.microsoft.com/office/drawing/2014/main" id="{00000000-0008-0000-0400-000002000000}"/>
            </a:ext>
          </a:extLst>
        </xdr:cNvPr>
        <xdr:cNvSpPr txBox="1">
          <a:spLocks noChangeArrowheads="1"/>
        </xdr:cNvSpPr>
      </xdr:nvSpPr>
      <xdr:spPr bwMode="auto">
        <a:xfrm>
          <a:off x="200811" y="48409"/>
          <a:ext cx="6931509" cy="3733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Product Breakdown Structure (PBS)</a:t>
          </a:r>
        </a:p>
      </xdr:txBody>
    </xdr:sp>
    <xdr:clientData/>
  </xdr:twoCellAnchor>
  <xdr:twoCellAnchor>
    <xdr:from>
      <xdr:col>11</xdr:col>
      <xdr:colOff>699017</xdr:colOff>
      <xdr:row>8</xdr:row>
      <xdr:rowOff>26075</xdr:rowOff>
    </xdr:from>
    <xdr:to>
      <xdr:col>13</xdr:col>
      <xdr:colOff>694822</xdr:colOff>
      <xdr:row>10</xdr:row>
      <xdr:rowOff>35717</xdr:rowOff>
    </xdr:to>
    <xdr:sp macro="" textlink="">
      <xdr:nvSpPr>
        <xdr:cNvPr id="29" name="Rectangle 28">
          <a:extLst>
            <a:ext uri="{FF2B5EF4-FFF2-40B4-BE49-F238E27FC236}">
              <a16:creationId xmlns:a16="http://schemas.microsoft.com/office/drawing/2014/main" id="{8526DBD9-BB39-4687-9F47-0D7A83D666B0}"/>
            </a:ext>
          </a:extLst>
        </xdr:cNvPr>
        <xdr:cNvSpPr/>
      </xdr:nvSpPr>
      <xdr:spPr>
        <a:xfrm>
          <a:off x="8623817" y="1416725"/>
          <a:ext cx="1557905" cy="352542"/>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Produit</a:t>
          </a:r>
          <a:r>
            <a:rPr lang="fr-FR" sz="1100" baseline="0">
              <a:solidFill>
                <a:schemeClr val="tx1"/>
              </a:solidFill>
            </a:rPr>
            <a:t> final tsp</a:t>
          </a:r>
          <a:endParaRPr lang="fr-FR" sz="1100">
            <a:solidFill>
              <a:schemeClr val="tx1"/>
            </a:solidFill>
          </a:endParaRPr>
        </a:p>
      </xdr:txBody>
    </xdr:sp>
    <xdr:clientData/>
  </xdr:twoCellAnchor>
  <xdr:twoCellAnchor>
    <xdr:from>
      <xdr:col>4</xdr:col>
      <xdr:colOff>712473</xdr:colOff>
      <xdr:row>16</xdr:row>
      <xdr:rowOff>102164</xdr:rowOff>
    </xdr:from>
    <xdr:to>
      <xdr:col>6</xdr:col>
      <xdr:colOff>647700</xdr:colOff>
      <xdr:row>20</xdr:row>
      <xdr:rowOff>28575</xdr:rowOff>
    </xdr:to>
    <xdr:sp macro="" textlink="">
      <xdr:nvSpPr>
        <xdr:cNvPr id="30" name="Rectangle 29">
          <a:extLst>
            <a:ext uri="{FF2B5EF4-FFF2-40B4-BE49-F238E27FC236}">
              <a16:creationId xmlns:a16="http://schemas.microsoft.com/office/drawing/2014/main" id="{8219B25F-F97A-49A5-82C7-38B7ED5EF11F}"/>
            </a:ext>
          </a:extLst>
        </xdr:cNvPr>
        <xdr:cNvSpPr/>
      </xdr:nvSpPr>
      <xdr:spPr>
        <a:xfrm>
          <a:off x="4751073" y="2311964"/>
          <a:ext cx="1504947"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Livrables</a:t>
          </a:r>
          <a:r>
            <a:rPr lang="fr-FR" sz="1100" baseline="0">
              <a:solidFill>
                <a:schemeClr val="tx1"/>
              </a:solidFill>
            </a:rPr>
            <a:t> des CC</a:t>
          </a:r>
          <a:endParaRPr lang="fr-FR" sz="1100">
            <a:solidFill>
              <a:schemeClr val="tx1"/>
            </a:solidFill>
          </a:endParaRPr>
        </a:p>
      </xdr:txBody>
    </xdr:sp>
    <xdr:clientData/>
  </xdr:twoCellAnchor>
  <xdr:twoCellAnchor>
    <xdr:from>
      <xdr:col>7</xdr:col>
      <xdr:colOff>358497</xdr:colOff>
      <xdr:row>16</xdr:row>
      <xdr:rowOff>121214</xdr:rowOff>
    </xdr:from>
    <xdr:to>
      <xdr:col>9</xdr:col>
      <xdr:colOff>180975</xdr:colOff>
      <xdr:row>20</xdr:row>
      <xdr:rowOff>38099</xdr:rowOff>
    </xdr:to>
    <xdr:sp macro="" textlink="">
      <xdr:nvSpPr>
        <xdr:cNvPr id="31" name="Rectangle 30">
          <a:extLst>
            <a:ext uri="{FF2B5EF4-FFF2-40B4-BE49-F238E27FC236}">
              <a16:creationId xmlns:a16="http://schemas.microsoft.com/office/drawing/2014/main" id="{E5D07F1E-9F34-4DF3-B682-2783113D727B}"/>
            </a:ext>
          </a:extLst>
        </xdr:cNvPr>
        <xdr:cNvSpPr/>
      </xdr:nvSpPr>
      <xdr:spPr>
        <a:xfrm>
          <a:off x="6751677" y="2331014"/>
          <a:ext cx="1392198" cy="58744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de-DE" sz="1100">
              <a:solidFill>
                <a:schemeClr val="tx1"/>
              </a:solidFill>
            </a:rPr>
            <a:t>Documentation</a:t>
          </a:r>
          <a:r>
            <a:rPr lang="fr-FR" sz="1100">
              <a:solidFill>
                <a:schemeClr val="tx1"/>
              </a:solidFill>
            </a:rPr>
            <a:t> </a:t>
          </a:r>
        </a:p>
        <a:p>
          <a:pPr algn="ctr"/>
          <a:r>
            <a:rPr lang="fr-FR" sz="1100">
              <a:solidFill>
                <a:schemeClr val="tx1"/>
              </a:solidFill>
            </a:rPr>
            <a:t>Readme.md</a:t>
          </a:r>
          <a:r>
            <a:rPr lang="fr-FR" sz="1100" baseline="0">
              <a:solidFill>
                <a:schemeClr val="tx1"/>
              </a:solidFill>
            </a:rPr>
            <a:t> </a:t>
          </a:r>
        </a:p>
        <a:p>
          <a:pPr algn="ctr"/>
          <a:r>
            <a:rPr lang="fr-FR" sz="1100" baseline="0">
              <a:solidFill>
                <a:schemeClr val="tx1"/>
              </a:solidFill>
            </a:rPr>
            <a:t>rapport_qualité.pdf</a:t>
          </a:r>
          <a:endParaRPr lang="fr-FR" sz="1100">
            <a:solidFill>
              <a:schemeClr val="tx1"/>
            </a:solidFill>
          </a:endParaRPr>
        </a:p>
      </xdr:txBody>
    </xdr:sp>
    <xdr:clientData/>
  </xdr:twoCellAnchor>
  <xdr:twoCellAnchor>
    <xdr:from>
      <xdr:col>3</xdr:col>
      <xdr:colOff>85338</xdr:colOff>
      <xdr:row>22</xdr:row>
      <xdr:rowOff>99789</xdr:rowOff>
    </xdr:from>
    <xdr:to>
      <xdr:col>4</xdr:col>
      <xdr:colOff>523875</xdr:colOff>
      <xdr:row>24</xdr:row>
      <xdr:rowOff>152401</xdr:rowOff>
    </xdr:to>
    <xdr:sp macro="" textlink="">
      <xdr:nvSpPr>
        <xdr:cNvPr id="38" name="Rectangle 37">
          <a:extLst>
            <a:ext uri="{FF2B5EF4-FFF2-40B4-BE49-F238E27FC236}">
              <a16:creationId xmlns:a16="http://schemas.microsoft.com/office/drawing/2014/main" id="{C4BF8EAC-4102-473F-8CFC-6734C6E2D278}"/>
            </a:ext>
          </a:extLst>
        </xdr:cNvPr>
        <xdr:cNvSpPr/>
      </xdr:nvSpPr>
      <xdr:spPr>
        <a:xfrm>
          <a:off x="1761738" y="3890739"/>
          <a:ext cx="1219587" cy="395512"/>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Exact</a:t>
          </a:r>
        </a:p>
      </xdr:txBody>
    </xdr:sp>
    <xdr:clientData/>
  </xdr:twoCellAnchor>
  <xdr:twoCellAnchor>
    <xdr:from>
      <xdr:col>2</xdr:col>
      <xdr:colOff>219076</xdr:colOff>
      <xdr:row>16</xdr:row>
      <xdr:rowOff>135764</xdr:rowOff>
    </xdr:from>
    <xdr:to>
      <xdr:col>4</xdr:col>
      <xdr:colOff>190500</xdr:colOff>
      <xdr:row>20</xdr:row>
      <xdr:rowOff>28575</xdr:rowOff>
    </xdr:to>
    <xdr:sp macro="" textlink="">
      <xdr:nvSpPr>
        <xdr:cNvPr id="45" name="Rectangle 44">
          <a:extLst>
            <a:ext uri="{FF2B5EF4-FFF2-40B4-BE49-F238E27FC236}">
              <a16:creationId xmlns:a16="http://schemas.microsoft.com/office/drawing/2014/main" id="{1EA66E5F-D2FA-4FFC-B43F-C86866C05601}"/>
            </a:ext>
          </a:extLst>
        </xdr:cNvPr>
        <xdr:cNvSpPr/>
      </xdr:nvSpPr>
      <xdr:spPr>
        <a:xfrm>
          <a:off x="2687956" y="2345564"/>
          <a:ext cx="1541144" cy="5633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200"/>
            </a:lnSpc>
          </a:pPr>
          <a:endParaRPr lang="fr-FR" sz="1100">
            <a:solidFill>
              <a:schemeClr val="tx1"/>
            </a:solidFill>
          </a:endParaRPr>
        </a:p>
        <a:p>
          <a:pPr algn="ctr">
            <a:lnSpc>
              <a:spcPts val="1200"/>
            </a:lnSpc>
          </a:pPr>
          <a:r>
            <a:rPr lang="fr-FR" sz="1100">
              <a:solidFill>
                <a:schemeClr val="tx1"/>
              </a:solidFill>
            </a:rPr>
            <a:t>Algorithmes</a:t>
          </a:r>
        </a:p>
      </xdr:txBody>
    </xdr:sp>
    <xdr:clientData/>
  </xdr:twoCellAnchor>
  <xdr:twoCellAnchor>
    <xdr:from>
      <xdr:col>3</xdr:col>
      <xdr:colOff>0</xdr:colOff>
      <xdr:row>42</xdr:row>
      <xdr:rowOff>133350</xdr:rowOff>
    </xdr:from>
    <xdr:to>
      <xdr:col>4</xdr:col>
      <xdr:colOff>428625</xdr:colOff>
      <xdr:row>44</xdr:row>
      <xdr:rowOff>95250</xdr:rowOff>
    </xdr:to>
    <xdr:sp macro="" textlink="">
      <xdr:nvSpPr>
        <xdr:cNvPr id="47" name="Rectangle 46">
          <a:extLst>
            <a:ext uri="{FF2B5EF4-FFF2-40B4-BE49-F238E27FC236}">
              <a16:creationId xmlns:a16="http://schemas.microsoft.com/office/drawing/2014/main" id="{BA07B80B-9119-4478-A24C-5D093B7BA5B3}"/>
            </a:ext>
          </a:extLst>
        </xdr:cNvPr>
        <xdr:cNvSpPr/>
      </xdr:nvSpPr>
      <xdr:spPr>
        <a:xfrm>
          <a:off x="1676400" y="7448550"/>
          <a:ext cx="1209675" cy="35242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GA</a:t>
          </a:r>
        </a:p>
      </xdr:txBody>
    </xdr:sp>
    <xdr:clientData/>
  </xdr:twoCellAnchor>
  <xdr:twoCellAnchor>
    <xdr:from>
      <xdr:col>3</xdr:col>
      <xdr:colOff>95251</xdr:colOff>
      <xdr:row>32</xdr:row>
      <xdr:rowOff>161926</xdr:rowOff>
    </xdr:from>
    <xdr:to>
      <xdr:col>4</xdr:col>
      <xdr:colOff>514351</xdr:colOff>
      <xdr:row>35</xdr:row>
      <xdr:rowOff>28576</xdr:rowOff>
    </xdr:to>
    <xdr:sp macro="" textlink="">
      <xdr:nvSpPr>
        <xdr:cNvPr id="48" name="Rectangle 47">
          <a:extLst>
            <a:ext uri="{FF2B5EF4-FFF2-40B4-BE49-F238E27FC236}">
              <a16:creationId xmlns:a16="http://schemas.microsoft.com/office/drawing/2014/main" id="{24603C54-A4C4-41A2-97CA-C54FC248E538}"/>
            </a:ext>
          </a:extLst>
        </xdr:cNvPr>
        <xdr:cNvSpPr/>
      </xdr:nvSpPr>
      <xdr:spPr>
        <a:xfrm>
          <a:off x="1771651" y="5667376"/>
          <a:ext cx="1200150" cy="38100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Heuristiques</a:t>
          </a:r>
        </a:p>
      </xdr:txBody>
    </xdr:sp>
    <xdr:clientData/>
  </xdr:twoCellAnchor>
  <xdr:twoCellAnchor>
    <xdr:from>
      <xdr:col>3</xdr:col>
      <xdr:colOff>27803</xdr:colOff>
      <xdr:row>53</xdr:row>
      <xdr:rowOff>90358</xdr:rowOff>
    </xdr:from>
    <xdr:to>
      <xdr:col>4</xdr:col>
      <xdr:colOff>329514</xdr:colOff>
      <xdr:row>57</xdr:row>
      <xdr:rowOff>113270</xdr:rowOff>
    </xdr:to>
    <xdr:sp macro="" textlink="">
      <xdr:nvSpPr>
        <xdr:cNvPr id="49" name="Rectangle 48">
          <a:extLst>
            <a:ext uri="{FF2B5EF4-FFF2-40B4-BE49-F238E27FC236}">
              <a16:creationId xmlns:a16="http://schemas.microsoft.com/office/drawing/2014/main" id="{F0AB0C3C-B05E-4C23-A4A0-ED68067EDDF0}"/>
            </a:ext>
          </a:extLst>
        </xdr:cNvPr>
        <xdr:cNvSpPr/>
      </xdr:nvSpPr>
      <xdr:spPr>
        <a:xfrm>
          <a:off x="1706262" y="9337331"/>
          <a:ext cx="1084306" cy="73342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2-opt</a:t>
          </a:r>
        </a:p>
        <a:p>
          <a:pPr algn="ctr"/>
          <a:r>
            <a:rPr lang="fr-FR" sz="1100">
              <a:solidFill>
                <a:schemeClr val="tx1"/>
              </a:solidFill>
            </a:rPr>
            <a:t>deux_opt.h</a:t>
          </a:r>
        </a:p>
        <a:p>
          <a:pPr algn="ctr"/>
          <a:r>
            <a:rPr lang="fr-FR" sz="1100">
              <a:solidFill>
                <a:schemeClr val="tx1"/>
              </a:solidFill>
            </a:rPr>
            <a:t>deux_opt.c</a:t>
          </a:r>
        </a:p>
      </xdr:txBody>
    </xdr:sp>
    <xdr:clientData/>
  </xdr:twoCellAnchor>
  <xdr:twoCellAnchor>
    <xdr:from>
      <xdr:col>5</xdr:col>
      <xdr:colOff>190500</xdr:colOff>
      <xdr:row>24</xdr:row>
      <xdr:rowOff>72082</xdr:rowOff>
    </xdr:from>
    <xdr:to>
      <xdr:col>7</xdr:col>
      <xdr:colOff>453081</xdr:colOff>
      <xdr:row>27</xdr:row>
      <xdr:rowOff>72082</xdr:rowOff>
    </xdr:to>
    <xdr:sp macro="" textlink="">
      <xdr:nvSpPr>
        <xdr:cNvPr id="50" name="Rectangle 49">
          <a:extLst>
            <a:ext uri="{FF2B5EF4-FFF2-40B4-BE49-F238E27FC236}">
              <a16:creationId xmlns:a16="http://schemas.microsoft.com/office/drawing/2014/main" id="{271626CC-086E-4E45-B264-D3EB6D99A157}"/>
            </a:ext>
          </a:extLst>
        </xdr:cNvPr>
        <xdr:cNvSpPr/>
      </xdr:nvSpPr>
      <xdr:spPr>
        <a:xfrm>
          <a:off x="3434149" y="4077731"/>
          <a:ext cx="1827770" cy="49427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Brute</a:t>
          </a:r>
          <a:r>
            <a:rPr lang="fr-FR" sz="1100" b="1" baseline="0">
              <a:solidFill>
                <a:schemeClr val="tx1"/>
              </a:solidFill>
            </a:rPr>
            <a:t> force </a:t>
          </a:r>
        </a:p>
        <a:p>
          <a:pPr algn="ctr"/>
          <a:r>
            <a:rPr lang="fr-FR" sz="1100" baseline="0">
              <a:solidFill>
                <a:schemeClr val="tx1"/>
              </a:solidFill>
            </a:rPr>
            <a:t>algo_bruteforce.h</a:t>
          </a:r>
        </a:p>
        <a:p>
          <a:pPr algn="ctr"/>
          <a:r>
            <a:rPr lang="fr-FR" sz="1100">
              <a:solidFill>
                <a:schemeClr val="tx1"/>
              </a:solidFill>
            </a:rPr>
            <a:t>algo_bruteforce.c</a:t>
          </a:r>
        </a:p>
      </xdr:txBody>
    </xdr:sp>
    <xdr:clientData/>
  </xdr:twoCellAnchor>
  <xdr:twoCellAnchor>
    <xdr:from>
      <xdr:col>12</xdr:col>
      <xdr:colOff>696920</xdr:colOff>
      <xdr:row>10</xdr:row>
      <xdr:rowOff>35717</xdr:rowOff>
    </xdr:from>
    <xdr:to>
      <xdr:col>12</xdr:col>
      <xdr:colOff>704850</xdr:colOff>
      <xdr:row>12</xdr:row>
      <xdr:rowOff>104775</xdr:rowOff>
    </xdr:to>
    <xdr:cxnSp macro="">
      <xdr:nvCxnSpPr>
        <xdr:cNvPr id="59" name="Straight Arrow Connector 58">
          <a:extLst>
            <a:ext uri="{FF2B5EF4-FFF2-40B4-BE49-F238E27FC236}">
              <a16:creationId xmlns:a16="http://schemas.microsoft.com/office/drawing/2014/main" id="{1BA72F52-3278-49AC-AF2E-56A129D6E421}"/>
            </a:ext>
          </a:extLst>
        </xdr:cNvPr>
        <xdr:cNvCxnSpPr>
          <a:endCxn id="29" idx="2"/>
        </xdr:cNvCxnSpPr>
      </xdr:nvCxnSpPr>
      <xdr:spPr bwMode="auto">
        <a:xfrm flipH="1" flipV="1">
          <a:off x="9402770" y="1769267"/>
          <a:ext cx="7930" cy="411958"/>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142875</xdr:colOff>
      <xdr:row>12</xdr:row>
      <xdr:rowOff>66675</xdr:rowOff>
    </xdr:from>
    <xdr:to>
      <xdr:col>22</xdr:col>
      <xdr:colOff>419100</xdr:colOff>
      <xdr:row>12</xdr:row>
      <xdr:rowOff>152400</xdr:rowOff>
    </xdr:to>
    <xdr:cxnSp macro="">
      <xdr:nvCxnSpPr>
        <xdr:cNvPr id="60" name="Straight Connector 59">
          <a:extLst>
            <a:ext uri="{FF2B5EF4-FFF2-40B4-BE49-F238E27FC236}">
              <a16:creationId xmlns:a16="http://schemas.microsoft.com/office/drawing/2014/main" id="{4479E704-5BA9-497A-B2D9-7E6F18194AA5}"/>
            </a:ext>
          </a:extLst>
        </xdr:cNvPr>
        <xdr:cNvCxnSpPr/>
      </xdr:nvCxnSpPr>
      <xdr:spPr bwMode="auto">
        <a:xfrm>
          <a:off x="3396615" y="1605915"/>
          <a:ext cx="15188565" cy="8572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219075</xdr:colOff>
      <xdr:row>12</xdr:row>
      <xdr:rowOff>66675</xdr:rowOff>
    </xdr:from>
    <xdr:to>
      <xdr:col>3</xdr:col>
      <xdr:colOff>219075</xdr:colOff>
      <xdr:row>16</xdr:row>
      <xdr:rowOff>123825</xdr:rowOff>
    </xdr:to>
    <xdr:cxnSp macro="">
      <xdr:nvCxnSpPr>
        <xdr:cNvPr id="61" name="Straight Connector 60">
          <a:extLst>
            <a:ext uri="{FF2B5EF4-FFF2-40B4-BE49-F238E27FC236}">
              <a16:creationId xmlns:a16="http://schemas.microsoft.com/office/drawing/2014/main" id="{0AD43F2C-0A94-4586-8135-7DA61895520D}"/>
            </a:ext>
          </a:extLst>
        </xdr:cNvPr>
        <xdr:cNvCxnSpPr/>
      </xdr:nvCxnSpPr>
      <xdr:spPr bwMode="auto">
        <a:xfrm>
          <a:off x="3472815" y="1605915"/>
          <a:ext cx="0" cy="72771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685800</xdr:colOff>
      <xdr:row>12</xdr:row>
      <xdr:rowOff>57150</xdr:rowOff>
    </xdr:from>
    <xdr:to>
      <xdr:col>5</xdr:col>
      <xdr:colOff>695325</xdr:colOff>
      <xdr:row>16</xdr:row>
      <xdr:rowOff>104775</xdr:rowOff>
    </xdr:to>
    <xdr:cxnSp macro="">
      <xdr:nvCxnSpPr>
        <xdr:cNvPr id="62" name="Straight Connector 61">
          <a:extLst>
            <a:ext uri="{FF2B5EF4-FFF2-40B4-BE49-F238E27FC236}">
              <a16:creationId xmlns:a16="http://schemas.microsoft.com/office/drawing/2014/main" id="{6229CBC8-5281-47F9-9A9F-BFDCB8E8656D}"/>
            </a:ext>
          </a:extLst>
        </xdr:cNvPr>
        <xdr:cNvCxnSpPr/>
      </xdr:nvCxnSpPr>
      <xdr:spPr bwMode="auto">
        <a:xfrm flipH="1">
          <a:off x="5509260" y="1596390"/>
          <a:ext cx="9525" cy="71818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12</xdr:row>
      <xdr:rowOff>114300</xdr:rowOff>
    </xdr:from>
    <xdr:to>
      <xdr:col>8</xdr:col>
      <xdr:colOff>269736</xdr:colOff>
      <xdr:row>16</xdr:row>
      <xdr:rowOff>121214</xdr:rowOff>
    </xdr:to>
    <xdr:cxnSp macro="">
      <xdr:nvCxnSpPr>
        <xdr:cNvPr id="63" name="Straight Connector 62">
          <a:extLst>
            <a:ext uri="{FF2B5EF4-FFF2-40B4-BE49-F238E27FC236}">
              <a16:creationId xmlns:a16="http://schemas.microsoft.com/office/drawing/2014/main" id="{37D7BB3C-0080-4926-8FF2-BF4A5361B52D}"/>
            </a:ext>
          </a:extLst>
        </xdr:cNvPr>
        <xdr:cNvCxnSpPr>
          <a:cxnSpLocks/>
          <a:endCxn id="31" idx="0"/>
        </xdr:cNvCxnSpPr>
      </xdr:nvCxnSpPr>
      <xdr:spPr bwMode="auto">
        <a:xfrm>
          <a:off x="7444740" y="1653540"/>
          <a:ext cx="3036" cy="677474"/>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566351</xdr:colOff>
      <xdr:row>20</xdr:row>
      <xdr:rowOff>9525</xdr:rowOff>
    </xdr:from>
    <xdr:to>
      <xdr:col>2</xdr:col>
      <xdr:colOff>628650</xdr:colOff>
      <xdr:row>55</xdr:row>
      <xdr:rowOff>82378</xdr:rowOff>
    </xdr:to>
    <xdr:cxnSp macro="">
      <xdr:nvCxnSpPr>
        <xdr:cNvPr id="65" name="Straight Arrow Connector 64">
          <a:extLst>
            <a:ext uri="{FF2B5EF4-FFF2-40B4-BE49-F238E27FC236}">
              <a16:creationId xmlns:a16="http://schemas.microsoft.com/office/drawing/2014/main" id="{DF054E01-B9C4-45B0-B009-8944569238D3}"/>
            </a:ext>
          </a:extLst>
        </xdr:cNvPr>
        <xdr:cNvCxnSpPr/>
      </xdr:nvCxnSpPr>
      <xdr:spPr bwMode="auto">
        <a:xfrm flipV="1">
          <a:off x="1462216" y="3356147"/>
          <a:ext cx="62299" cy="6354204"/>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590550</xdr:colOff>
      <xdr:row>34</xdr:row>
      <xdr:rowOff>19050</xdr:rowOff>
    </xdr:from>
    <xdr:to>
      <xdr:col>3</xdr:col>
      <xdr:colOff>85725</xdr:colOff>
      <xdr:row>34</xdr:row>
      <xdr:rowOff>28575</xdr:rowOff>
    </xdr:to>
    <xdr:cxnSp macro="">
      <xdr:nvCxnSpPr>
        <xdr:cNvPr id="69" name="Straight Connector 68">
          <a:extLst>
            <a:ext uri="{FF2B5EF4-FFF2-40B4-BE49-F238E27FC236}">
              <a16:creationId xmlns:a16="http://schemas.microsoft.com/office/drawing/2014/main" id="{3C978848-2AE0-4390-B929-F245CE55CC6E}"/>
            </a:ext>
          </a:extLst>
        </xdr:cNvPr>
        <xdr:cNvCxnSpPr/>
      </xdr:nvCxnSpPr>
      <xdr:spPr bwMode="auto">
        <a:xfrm flipH="1" flipV="1">
          <a:off x="1485900" y="5867400"/>
          <a:ext cx="276225" cy="952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561975</xdr:colOff>
      <xdr:row>43</xdr:row>
      <xdr:rowOff>114300</xdr:rowOff>
    </xdr:from>
    <xdr:to>
      <xdr:col>2</xdr:col>
      <xdr:colOff>762000</xdr:colOff>
      <xdr:row>43</xdr:row>
      <xdr:rowOff>119063</xdr:rowOff>
    </xdr:to>
    <xdr:cxnSp macro="">
      <xdr:nvCxnSpPr>
        <xdr:cNvPr id="70" name="Straight Connector 69">
          <a:extLst>
            <a:ext uri="{FF2B5EF4-FFF2-40B4-BE49-F238E27FC236}">
              <a16:creationId xmlns:a16="http://schemas.microsoft.com/office/drawing/2014/main" id="{04BB36C5-63CC-4DC9-879D-73B91021249F}"/>
            </a:ext>
          </a:extLst>
        </xdr:cNvPr>
        <xdr:cNvCxnSpPr/>
      </xdr:nvCxnSpPr>
      <xdr:spPr bwMode="auto">
        <a:xfrm flipH="1" flipV="1">
          <a:off x="1457325" y="7600950"/>
          <a:ext cx="200025" cy="4763"/>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638175</xdr:colOff>
      <xdr:row>23</xdr:row>
      <xdr:rowOff>38100</xdr:rowOff>
    </xdr:from>
    <xdr:to>
      <xdr:col>3</xdr:col>
      <xdr:colOff>85338</xdr:colOff>
      <xdr:row>23</xdr:row>
      <xdr:rowOff>49895</xdr:rowOff>
    </xdr:to>
    <xdr:cxnSp macro="">
      <xdr:nvCxnSpPr>
        <xdr:cNvPr id="71" name="Straight Connector 70">
          <a:extLst>
            <a:ext uri="{FF2B5EF4-FFF2-40B4-BE49-F238E27FC236}">
              <a16:creationId xmlns:a16="http://schemas.microsoft.com/office/drawing/2014/main" id="{26F12A59-EB7D-4918-97E0-360820966E28}"/>
            </a:ext>
          </a:extLst>
        </xdr:cNvPr>
        <xdr:cNvCxnSpPr/>
      </xdr:nvCxnSpPr>
      <xdr:spPr bwMode="auto">
        <a:xfrm flipH="1" flipV="1">
          <a:off x="1533525" y="4000500"/>
          <a:ext cx="228213" cy="1179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586946</xdr:colOff>
      <xdr:row>55</xdr:row>
      <xdr:rowOff>61784</xdr:rowOff>
    </xdr:from>
    <xdr:to>
      <xdr:col>3</xdr:col>
      <xdr:colOff>27803</xdr:colOff>
      <xdr:row>55</xdr:row>
      <xdr:rowOff>76071</xdr:rowOff>
    </xdr:to>
    <xdr:cxnSp macro="">
      <xdr:nvCxnSpPr>
        <xdr:cNvPr id="74" name="Straight Connector 73">
          <a:extLst>
            <a:ext uri="{FF2B5EF4-FFF2-40B4-BE49-F238E27FC236}">
              <a16:creationId xmlns:a16="http://schemas.microsoft.com/office/drawing/2014/main" id="{C8F9ACA5-FA46-4006-8586-D1CDFD8DA2D3}"/>
            </a:ext>
          </a:extLst>
        </xdr:cNvPr>
        <xdr:cNvCxnSpPr>
          <a:stCxn id="49" idx="1"/>
        </xdr:cNvCxnSpPr>
      </xdr:nvCxnSpPr>
      <xdr:spPr bwMode="auto">
        <a:xfrm flipH="1" flipV="1">
          <a:off x="1482811" y="9689757"/>
          <a:ext cx="223451" cy="14287"/>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598214</xdr:colOff>
      <xdr:row>16</xdr:row>
      <xdr:rowOff>84191</xdr:rowOff>
    </xdr:from>
    <xdr:to>
      <xdr:col>12</xdr:col>
      <xdr:colOff>571440</xdr:colOff>
      <xdr:row>24</xdr:row>
      <xdr:rowOff>38110</xdr:rowOff>
    </xdr:to>
    <xdr:sp macro="" textlink="">
      <xdr:nvSpPr>
        <xdr:cNvPr id="89" name="Rectangle 88">
          <a:extLst>
            <a:ext uri="{FF2B5EF4-FFF2-40B4-BE49-F238E27FC236}">
              <a16:creationId xmlns:a16="http://schemas.microsoft.com/office/drawing/2014/main" id="{78757807-2096-44DE-ACEA-D84EF30C79AC}"/>
            </a:ext>
          </a:extLst>
        </xdr:cNvPr>
        <xdr:cNvSpPr/>
      </xdr:nvSpPr>
      <xdr:spPr>
        <a:xfrm>
          <a:off x="7806559" y="2773088"/>
          <a:ext cx="1549778" cy="1285229"/>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Tests</a:t>
          </a:r>
          <a:r>
            <a:rPr lang="fr-FR" sz="1100" baseline="0">
              <a:solidFill>
                <a:schemeClr val="tx1"/>
              </a:solidFill>
            </a:rPr>
            <a:t> &amp; Validation</a:t>
          </a:r>
        </a:p>
        <a:p>
          <a:pPr algn="ctr">
            <a:lnSpc>
              <a:spcPts val="1100"/>
            </a:lnSpc>
          </a:pPr>
          <a:endParaRPr lang="fr-FR" sz="1100" baseline="0">
            <a:solidFill>
              <a:schemeClr val="tx1"/>
            </a:solidFill>
          </a:endParaRPr>
        </a:p>
        <a:p>
          <a:pPr algn="ctr">
            <a:lnSpc>
              <a:spcPts val="1100"/>
            </a:lnSpc>
          </a:pPr>
          <a:r>
            <a:rPr lang="fr-FR" sz="1100" baseline="0">
              <a:solidFill>
                <a:schemeClr val="tx1"/>
              </a:solidFill>
            </a:rPr>
            <a:t>fichier data ( att10.tsp, </a:t>
          </a:r>
        </a:p>
        <a:p>
          <a:pPr algn="ctr">
            <a:lnSpc>
              <a:spcPts val="1100"/>
            </a:lnSpc>
          </a:pPr>
          <a:r>
            <a:rPr lang="fr-FR" sz="1100" baseline="0">
              <a:solidFill>
                <a:schemeClr val="tx1"/>
              </a:solidFill>
            </a:rPr>
            <a:t>att15.tsp)</a:t>
          </a:r>
          <a:r>
            <a:rPr lang="fr-FR" sz="1100">
              <a:solidFill>
                <a:schemeClr val="tx1"/>
              </a:solidFill>
            </a:rPr>
            <a:t> </a:t>
          </a:r>
        </a:p>
        <a:p>
          <a:pPr algn="ctr">
            <a:lnSpc>
              <a:spcPts val="1100"/>
            </a:lnSpc>
          </a:pPr>
          <a:r>
            <a:rPr lang="fr-FR" sz="1100">
              <a:solidFill>
                <a:schemeClr val="tx1"/>
              </a:solidFill>
            </a:rPr>
            <a:t>pyton/Code</a:t>
          </a:r>
          <a:r>
            <a:rPr lang="fr-FR" sz="1100" baseline="0">
              <a:solidFill>
                <a:schemeClr val="tx1"/>
              </a:solidFill>
            </a:rPr>
            <a:t> Pyhton-20251008</a:t>
          </a:r>
          <a:endParaRPr lang="fr-FR" sz="1100">
            <a:solidFill>
              <a:schemeClr val="tx1"/>
            </a:solidFill>
          </a:endParaRPr>
        </a:p>
      </xdr:txBody>
    </xdr:sp>
    <xdr:clientData/>
  </xdr:twoCellAnchor>
  <xdr:twoCellAnchor>
    <xdr:from>
      <xdr:col>14</xdr:col>
      <xdr:colOff>222164</xdr:colOff>
      <xdr:row>15</xdr:row>
      <xdr:rowOff>142102</xdr:rowOff>
    </xdr:from>
    <xdr:to>
      <xdr:col>16</xdr:col>
      <xdr:colOff>20595</xdr:colOff>
      <xdr:row>22</xdr:row>
      <xdr:rowOff>82378</xdr:rowOff>
    </xdr:to>
    <xdr:sp macro="" textlink="">
      <xdr:nvSpPr>
        <xdr:cNvPr id="90" name="Rectangle 89">
          <a:extLst>
            <a:ext uri="{FF2B5EF4-FFF2-40B4-BE49-F238E27FC236}">
              <a16:creationId xmlns:a16="http://schemas.microsoft.com/office/drawing/2014/main" id="{4A823C40-E73D-44CE-8196-EE20810B0ADA}"/>
            </a:ext>
          </a:extLst>
        </xdr:cNvPr>
        <xdr:cNvSpPr/>
      </xdr:nvSpPr>
      <xdr:spPr>
        <a:xfrm>
          <a:off x="10509164" y="2664940"/>
          <a:ext cx="1363620" cy="109357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Export</a:t>
          </a:r>
          <a:r>
            <a:rPr lang="fr-FR" sz="1100" baseline="0">
              <a:solidFill>
                <a:schemeClr val="tx1"/>
              </a:solidFill>
            </a:rPr>
            <a:t> &amp; Données</a:t>
          </a:r>
        </a:p>
        <a:p>
          <a:pPr algn="ctr">
            <a:lnSpc>
              <a:spcPts val="1100"/>
            </a:lnSpc>
          </a:pPr>
          <a:r>
            <a:rPr lang="fr-FR" sz="1100" baseline="0">
              <a:solidFill>
                <a:schemeClr val="tx1"/>
              </a:solidFill>
            </a:rPr>
            <a:t>fichier csv</a:t>
          </a:r>
          <a:r>
            <a:rPr lang="fr-FR" sz="1100">
              <a:solidFill>
                <a:schemeClr val="tx1"/>
              </a:solidFill>
            </a:rPr>
            <a:t> </a:t>
          </a:r>
        </a:p>
        <a:p>
          <a:pPr algn="ctr">
            <a:lnSpc>
              <a:spcPts val="1100"/>
            </a:lnSpc>
          </a:pPr>
          <a:r>
            <a:rPr lang="fr-FR" sz="1100">
              <a:solidFill>
                <a:schemeClr val="tx1"/>
              </a:solidFill>
            </a:rPr>
            <a:t>csv_export.c</a:t>
          </a:r>
          <a:r>
            <a:rPr lang="fr-FR" sz="1100" baseline="0">
              <a:solidFill>
                <a:schemeClr val="tx1"/>
              </a:solidFill>
            </a:rPr>
            <a:t> </a:t>
          </a:r>
          <a:endParaRPr lang="fr-FR" sz="1100">
            <a:solidFill>
              <a:schemeClr val="tx1"/>
            </a:solidFill>
          </a:endParaRPr>
        </a:p>
      </xdr:txBody>
    </xdr:sp>
    <xdr:clientData/>
  </xdr:twoCellAnchor>
  <xdr:twoCellAnchor>
    <xdr:from>
      <xdr:col>16</xdr:col>
      <xdr:colOff>533400</xdr:colOff>
      <xdr:row>15</xdr:row>
      <xdr:rowOff>133350</xdr:rowOff>
    </xdr:from>
    <xdr:to>
      <xdr:col>18</xdr:col>
      <xdr:colOff>468627</xdr:colOff>
      <xdr:row>19</xdr:row>
      <xdr:rowOff>59761</xdr:rowOff>
    </xdr:to>
    <xdr:sp macro="" textlink="">
      <xdr:nvSpPr>
        <xdr:cNvPr id="91" name="Rectangle 90">
          <a:extLst>
            <a:ext uri="{FF2B5EF4-FFF2-40B4-BE49-F238E27FC236}">
              <a16:creationId xmlns:a16="http://schemas.microsoft.com/office/drawing/2014/main" id="{964710D4-ADF1-4D4C-B06D-1D07CD950C4C}"/>
            </a:ext>
          </a:extLst>
        </xdr:cNvPr>
        <xdr:cNvSpPr/>
      </xdr:nvSpPr>
      <xdr:spPr>
        <a:xfrm>
          <a:off x="13990320" y="2175510"/>
          <a:ext cx="1504947"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Interface</a:t>
          </a:r>
          <a:r>
            <a:rPr lang="fr-FR" sz="1100" baseline="0">
              <a:solidFill>
                <a:schemeClr val="tx1"/>
              </a:solidFill>
            </a:rPr>
            <a:t> &amp; CLI</a:t>
          </a:r>
        </a:p>
        <a:p>
          <a:pPr algn="ctr">
            <a:lnSpc>
              <a:spcPts val="1100"/>
            </a:lnSpc>
          </a:pPr>
          <a:r>
            <a:rPr lang="fr-FR" sz="1100">
              <a:solidFill>
                <a:schemeClr val="tx1"/>
              </a:solidFill>
            </a:rPr>
            <a:t>main.c </a:t>
          </a:r>
        </a:p>
      </xdr:txBody>
    </xdr:sp>
    <xdr:clientData/>
  </xdr:twoCellAnchor>
  <xdr:twoCellAnchor>
    <xdr:from>
      <xdr:col>19</xdr:col>
      <xdr:colOff>38100</xdr:colOff>
      <xdr:row>15</xdr:row>
      <xdr:rowOff>104775</xdr:rowOff>
    </xdr:from>
    <xdr:to>
      <xdr:col>20</xdr:col>
      <xdr:colOff>754377</xdr:colOff>
      <xdr:row>19</xdr:row>
      <xdr:rowOff>31186</xdr:rowOff>
    </xdr:to>
    <xdr:sp macro="" textlink="">
      <xdr:nvSpPr>
        <xdr:cNvPr id="92" name="Rectangle 91">
          <a:extLst>
            <a:ext uri="{FF2B5EF4-FFF2-40B4-BE49-F238E27FC236}">
              <a16:creationId xmlns:a16="http://schemas.microsoft.com/office/drawing/2014/main" id="{E13A96DC-4AB3-4977-863A-63637CDC9D3B}"/>
            </a:ext>
          </a:extLst>
        </xdr:cNvPr>
        <xdr:cNvSpPr/>
      </xdr:nvSpPr>
      <xdr:spPr>
        <a:xfrm>
          <a:off x="15849600" y="2146935"/>
          <a:ext cx="1501137"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Distance</a:t>
          </a:r>
          <a:r>
            <a:rPr lang="fr-FR" sz="1100" baseline="0">
              <a:solidFill>
                <a:schemeClr val="tx1"/>
              </a:solidFill>
            </a:rPr>
            <a:t> &amp; coûts</a:t>
          </a:r>
        </a:p>
        <a:p>
          <a:pPr algn="ctr">
            <a:lnSpc>
              <a:spcPts val="1100"/>
            </a:lnSpc>
          </a:pPr>
          <a:r>
            <a:rPr lang="fr-FR" sz="1100" baseline="0">
              <a:solidFill>
                <a:schemeClr val="tx1"/>
              </a:solidFill>
            </a:rPr>
            <a:t>distance.c</a:t>
          </a:r>
          <a:r>
            <a:rPr lang="fr-FR" sz="1100">
              <a:solidFill>
                <a:schemeClr val="tx1"/>
              </a:solidFill>
            </a:rPr>
            <a:t> </a:t>
          </a:r>
        </a:p>
      </xdr:txBody>
    </xdr:sp>
    <xdr:clientData/>
  </xdr:twoCellAnchor>
  <xdr:twoCellAnchor>
    <xdr:from>
      <xdr:col>21</xdr:col>
      <xdr:colOff>447675</xdr:colOff>
      <xdr:row>15</xdr:row>
      <xdr:rowOff>95250</xdr:rowOff>
    </xdr:from>
    <xdr:to>
      <xdr:col>23</xdr:col>
      <xdr:colOff>382902</xdr:colOff>
      <xdr:row>19</xdr:row>
      <xdr:rowOff>21661</xdr:rowOff>
    </xdr:to>
    <xdr:sp macro="" textlink="">
      <xdr:nvSpPr>
        <xdr:cNvPr id="93" name="Rectangle 92">
          <a:extLst>
            <a:ext uri="{FF2B5EF4-FFF2-40B4-BE49-F238E27FC236}">
              <a16:creationId xmlns:a16="http://schemas.microsoft.com/office/drawing/2014/main" id="{F235B4FD-046F-4C4D-A988-B1BCCFC7EA9E}"/>
            </a:ext>
          </a:extLst>
        </xdr:cNvPr>
        <xdr:cNvSpPr/>
      </xdr:nvSpPr>
      <xdr:spPr>
        <a:xfrm>
          <a:off x="17828895" y="2137410"/>
          <a:ext cx="1504947"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Lecture</a:t>
          </a:r>
          <a:r>
            <a:rPr lang="fr-FR" sz="1100" baseline="0">
              <a:solidFill>
                <a:schemeClr val="tx1"/>
              </a:solidFill>
            </a:rPr>
            <a:t> &amp; Instance</a:t>
          </a:r>
        </a:p>
        <a:p>
          <a:pPr algn="ctr">
            <a:lnSpc>
              <a:spcPts val="1100"/>
            </a:lnSpc>
          </a:pPr>
          <a:r>
            <a:rPr lang="fr-FR" sz="1100" baseline="0">
              <a:solidFill>
                <a:schemeClr val="tx1"/>
              </a:solidFill>
            </a:rPr>
            <a:t>main.c</a:t>
          </a:r>
          <a:r>
            <a:rPr lang="fr-FR" sz="1100">
              <a:solidFill>
                <a:schemeClr val="tx1"/>
              </a:solidFill>
            </a:rPr>
            <a:t> </a:t>
          </a:r>
        </a:p>
      </xdr:txBody>
    </xdr:sp>
    <xdr:clientData/>
  </xdr:twoCellAnchor>
  <xdr:twoCellAnchor>
    <xdr:from>
      <xdr:col>22</xdr:col>
      <xdr:colOff>415289</xdr:colOff>
      <xdr:row>12</xdr:row>
      <xdr:rowOff>142875</xdr:rowOff>
    </xdr:from>
    <xdr:to>
      <xdr:col>22</xdr:col>
      <xdr:colOff>419100</xdr:colOff>
      <xdr:row>15</xdr:row>
      <xdr:rowOff>95250</xdr:rowOff>
    </xdr:to>
    <xdr:cxnSp macro="">
      <xdr:nvCxnSpPr>
        <xdr:cNvPr id="94" name="Straight Connector 93">
          <a:extLst>
            <a:ext uri="{FF2B5EF4-FFF2-40B4-BE49-F238E27FC236}">
              <a16:creationId xmlns:a16="http://schemas.microsoft.com/office/drawing/2014/main" id="{9290F734-BE9F-440D-B559-E4A94711A461}"/>
            </a:ext>
          </a:extLst>
        </xdr:cNvPr>
        <xdr:cNvCxnSpPr>
          <a:endCxn id="93" idx="0"/>
        </xdr:cNvCxnSpPr>
      </xdr:nvCxnSpPr>
      <xdr:spPr bwMode="auto">
        <a:xfrm flipH="1">
          <a:off x="18581369" y="1682115"/>
          <a:ext cx="3811" cy="45529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385707</xdr:colOff>
      <xdr:row>12</xdr:row>
      <xdr:rowOff>114300</xdr:rowOff>
    </xdr:from>
    <xdr:to>
      <xdr:col>11</xdr:col>
      <xdr:colOff>385707</xdr:colOff>
      <xdr:row>16</xdr:row>
      <xdr:rowOff>66675</xdr:rowOff>
    </xdr:to>
    <xdr:cxnSp macro="">
      <xdr:nvCxnSpPr>
        <xdr:cNvPr id="95" name="Straight Connector 94">
          <a:extLst>
            <a:ext uri="{FF2B5EF4-FFF2-40B4-BE49-F238E27FC236}">
              <a16:creationId xmlns:a16="http://schemas.microsoft.com/office/drawing/2014/main" id="{B8FC6CFA-8B05-4D1B-8572-C51B42DD24D2}"/>
            </a:ext>
          </a:extLst>
        </xdr:cNvPr>
        <xdr:cNvCxnSpPr/>
      </xdr:nvCxnSpPr>
      <xdr:spPr bwMode="auto">
        <a:xfrm>
          <a:off x="8382328" y="2137541"/>
          <a:ext cx="0" cy="618031"/>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152400</xdr:colOff>
      <xdr:row>12</xdr:row>
      <xdr:rowOff>95250</xdr:rowOff>
    </xdr:from>
    <xdr:to>
      <xdr:col>15</xdr:col>
      <xdr:colOff>152400</xdr:colOff>
      <xdr:row>15</xdr:row>
      <xdr:rowOff>152400</xdr:rowOff>
    </xdr:to>
    <xdr:cxnSp macro="">
      <xdr:nvCxnSpPr>
        <xdr:cNvPr id="96" name="Straight Connector 95">
          <a:extLst>
            <a:ext uri="{FF2B5EF4-FFF2-40B4-BE49-F238E27FC236}">
              <a16:creationId xmlns:a16="http://schemas.microsoft.com/office/drawing/2014/main" id="{830E7982-AD66-45EA-9DE4-3C10A1731A23}"/>
            </a:ext>
          </a:extLst>
        </xdr:cNvPr>
        <xdr:cNvCxnSpPr/>
      </xdr:nvCxnSpPr>
      <xdr:spPr bwMode="auto">
        <a:xfrm>
          <a:off x="12824460" y="1634490"/>
          <a:ext cx="0" cy="56007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485775</xdr:colOff>
      <xdr:row>12</xdr:row>
      <xdr:rowOff>0</xdr:rowOff>
    </xdr:from>
    <xdr:to>
      <xdr:col>17</xdr:col>
      <xdr:colOff>485775</xdr:colOff>
      <xdr:row>15</xdr:row>
      <xdr:rowOff>123825</xdr:rowOff>
    </xdr:to>
    <xdr:cxnSp macro="">
      <xdr:nvCxnSpPr>
        <xdr:cNvPr id="97" name="Straight Connector 96">
          <a:extLst>
            <a:ext uri="{FF2B5EF4-FFF2-40B4-BE49-F238E27FC236}">
              <a16:creationId xmlns:a16="http://schemas.microsoft.com/office/drawing/2014/main" id="{705EDDAD-D805-4A7C-B438-57B81F8CC5D2}"/>
            </a:ext>
          </a:extLst>
        </xdr:cNvPr>
        <xdr:cNvCxnSpPr/>
      </xdr:nvCxnSpPr>
      <xdr:spPr bwMode="auto">
        <a:xfrm>
          <a:off x="14727555" y="1539240"/>
          <a:ext cx="0" cy="62674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695132</xdr:colOff>
      <xdr:row>24</xdr:row>
      <xdr:rowOff>114301</xdr:rowOff>
    </xdr:from>
    <xdr:to>
      <xdr:col>3</xdr:col>
      <xdr:colOff>695325</xdr:colOff>
      <xdr:row>30</xdr:row>
      <xdr:rowOff>47625</xdr:rowOff>
    </xdr:to>
    <xdr:cxnSp macro="">
      <xdr:nvCxnSpPr>
        <xdr:cNvPr id="146" name="Straight Arrow Connector 145">
          <a:extLst>
            <a:ext uri="{FF2B5EF4-FFF2-40B4-BE49-F238E27FC236}">
              <a16:creationId xmlns:a16="http://schemas.microsoft.com/office/drawing/2014/main" id="{2903F771-ED64-CD34-ECB6-70ACB7F66257}"/>
            </a:ext>
          </a:extLst>
        </xdr:cNvPr>
        <xdr:cNvCxnSpPr/>
      </xdr:nvCxnSpPr>
      <xdr:spPr bwMode="auto">
        <a:xfrm flipH="1" flipV="1">
          <a:off x="2371532" y="4248151"/>
          <a:ext cx="193" cy="962024"/>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685800</xdr:colOff>
      <xdr:row>26</xdr:row>
      <xdr:rowOff>95250</xdr:rowOff>
    </xdr:from>
    <xdr:to>
      <xdr:col>5</xdr:col>
      <xdr:colOff>209550</xdr:colOff>
      <xdr:row>26</xdr:row>
      <xdr:rowOff>95250</xdr:rowOff>
    </xdr:to>
    <xdr:cxnSp macro="">
      <xdr:nvCxnSpPr>
        <xdr:cNvPr id="148" name="Straight Connector 147">
          <a:extLst>
            <a:ext uri="{FF2B5EF4-FFF2-40B4-BE49-F238E27FC236}">
              <a16:creationId xmlns:a16="http://schemas.microsoft.com/office/drawing/2014/main" id="{5413FB10-019C-1629-8EFF-EAB2D151C9BF}"/>
            </a:ext>
          </a:extLst>
        </xdr:cNvPr>
        <xdr:cNvCxnSpPr/>
      </xdr:nvCxnSpPr>
      <xdr:spPr bwMode="auto">
        <a:xfrm>
          <a:off x="2362200" y="4572000"/>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219074</xdr:colOff>
      <xdr:row>28</xdr:row>
      <xdr:rowOff>114301</xdr:rowOff>
    </xdr:from>
    <xdr:to>
      <xdr:col>7</xdr:col>
      <xdr:colOff>422188</xdr:colOff>
      <xdr:row>33</xdr:row>
      <xdr:rowOff>30892</xdr:rowOff>
    </xdr:to>
    <xdr:sp macro="" textlink="">
      <xdr:nvSpPr>
        <xdr:cNvPr id="150" name="Rectangle 149">
          <a:extLst>
            <a:ext uri="{FF2B5EF4-FFF2-40B4-BE49-F238E27FC236}">
              <a16:creationId xmlns:a16="http://schemas.microsoft.com/office/drawing/2014/main" id="{37CB6890-51A9-4DE7-BB12-1422CAF743E9}"/>
            </a:ext>
          </a:extLst>
        </xdr:cNvPr>
        <xdr:cNvSpPr/>
      </xdr:nvSpPr>
      <xdr:spPr>
        <a:xfrm>
          <a:off x="3462723" y="4778977"/>
          <a:ext cx="1768303" cy="74037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Brute Force</a:t>
          </a:r>
          <a:r>
            <a:rPr lang="fr-FR" sz="1100" b="1" baseline="0">
              <a:solidFill>
                <a:schemeClr val="tx1"/>
              </a:solidFill>
            </a:rPr>
            <a:t> </a:t>
          </a:r>
        </a:p>
        <a:p>
          <a:pPr algn="ctr"/>
          <a:r>
            <a:rPr lang="fr-FR" sz="1100" b="1" baseline="0">
              <a:solidFill>
                <a:schemeClr val="tx1"/>
              </a:solidFill>
            </a:rPr>
            <a:t>Matrice</a:t>
          </a:r>
        </a:p>
        <a:p>
          <a:pPr algn="ctr"/>
          <a:r>
            <a:rPr lang="fr-FR" sz="1100" b="0" baseline="0">
              <a:solidFill>
                <a:schemeClr val="tx1"/>
              </a:solidFill>
            </a:rPr>
            <a:t>algo_bruteforceM.h</a:t>
          </a:r>
        </a:p>
        <a:p>
          <a:pPr algn="ctr"/>
          <a:r>
            <a:rPr lang="fr-FR" sz="1100" b="0">
              <a:solidFill>
                <a:schemeClr val="tx1"/>
              </a:solidFill>
            </a:rPr>
            <a:t>algo_bruteforceM.c</a:t>
          </a:r>
        </a:p>
      </xdr:txBody>
    </xdr:sp>
    <xdr:clientData/>
  </xdr:twoCellAnchor>
  <xdr:twoCellAnchor>
    <xdr:from>
      <xdr:col>5</xdr:col>
      <xdr:colOff>190500</xdr:colOff>
      <xdr:row>35</xdr:row>
      <xdr:rowOff>9524</xdr:rowOff>
    </xdr:from>
    <xdr:to>
      <xdr:col>7</xdr:col>
      <xdr:colOff>494270</xdr:colOff>
      <xdr:row>38</xdr:row>
      <xdr:rowOff>144162</xdr:rowOff>
    </xdr:to>
    <xdr:sp macro="" textlink="">
      <xdr:nvSpPr>
        <xdr:cNvPr id="151" name="Rectangle 150">
          <a:extLst>
            <a:ext uri="{FF2B5EF4-FFF2-40B4-BE49-F238E27FC236}">
              <a16:creationId xmlns:a16="http://schemas.microsoft.com/office/drawing/2014/main" id="{0B7FE9A2-9F9E-46B3-B6C9-49560F576C96}"/>
            </a:ext>
          </a:extLst>
        </xdr:cNvPr>
        <xdr:cNvSpPr/>
      </xdr:nvSpPr>
      <xdr:spPr>
        <a:xfrm>
          <a:off x="3434149" y="5827497"/>
          <a:ext cx="1868959" cy="628908"/>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Nearest</a:t>
          </a:r>
        </a:p>
        <a:p>
          <a:pPr algn="ctr"/>
          <a:r>
            <a:rPr lang="fr-FR" sz="1100" b="1">
              <a:solidFill>
                <a:schemeClr val="tx1"/>
              </a:solidFill>
            </a:rPr>
            <a:t>Neightbour</a:t>
          </a:r>
        </a:p>
        <a:p>
          <a:pPr algn="ctr"/>
          <a:r>
            <a:rPr lang="fr-FR" sz="1100">
              <a:solidFill>
                <a:schemeClr val="tx1"/>
              </a:solidFill>
            </a:rPr>
            <a:t>algo_nn.h</a:t>
          </a:r>
          <a:r>
            <a:rPr lang="fr-FR" sz="1100" baseline="0">
              <a:solidFill>
                <a:schemeClr val="tx1"/>
              </a:solidFill>
            </a:rPr>
            <a:t> &amp; algo_nn.c</a:t>
          </a:r>
          <a:endParaRPr lang="fr-FR" sz="1100">
            <a:solidFill>
              <a:schemeClr val="tx1"/>
            </a:solidFill>
          </a:endParaRPr>
        </a:p>
      </xdr:txBody>
    </xdr:sp>
    <xdr:clientData/>
  </xdr:twoCellAnchor>
  <xdr:twoCellAnchor>
    <xdr:from>
      <xdr:col>5</xdr:col>
      <xdr:colOff>239668</xdr:colOff>
      <xdr:row>39</xdr:row>
      <xdr:rowOff>124599</xdr:rowOff>
    </xdr:from>
    <xdr:to>
      <xdr:col>7</xdr:col>
      <xdr:colOff>504566</xdr:colOff>
      <xdr:row>42</xdr:row>
      <xdr:rowOff>82380</xdr:rowOff>
    </xdr:to>
    <xdr:sp macro="" textlink="">
      <xdr:nvSpPr>
        <xdr:cNvPr id="152" name="Rectangle 151">
          <a:extLst>
            <a:ext uri="{FF2B5EF4-FFF2-40B4-BE49-F238E27FC236}">
              <a16:creationId xmlns:a16="http://schemas.microsoft.com/office/drawing/2014/main" id="{25B0E2CE-F5DA-458F-BCEC-86931A46831A}"/>
            </a:ext>
          </a:extLst>
        </xdr:cNvPr>
        <xdr:cNvSpPr/>
      </xdr:nvSpPr>
      <xdr:spPr>
        <a:xfrm>
          <a:off x="3483317" y="6601599"/>
          <a:ext cx="1830087" cy="5550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Random</a:t>
          </a:r>
        </a:p>
        <a:p>
          <a:pPr algn="ctr"/>
          <a:r>
            <a:rPr lang="fr-FR" sz="1100" b="1">
              <a:solidFill>
                <a:schemeClr val="tx1"/>
              </a:solidFill>
            </a:rPr>
            <a:t>Walk</a:t>
          </a:r>
        </a:p>
        <a:p>
          <a:pPr algn="ctr"/>
          <a:r>
            <a:rPr lang="fr-FR" sz="1100">
              <a:solidFill>
                <a:schemeClr val="tx1"/>
              </a:solidFill>
            </a:rPr>
            <a:t>algo_rw.h</a:t>
          </a:r>
          <a:r>
            <a:rPr lang="fr-FR" sz="1100" baseline="0">
              <a:solidFill>
                <a:schemeClr val="tx1"/>
              </a:solidFill>
            </a:rPr>
            <a:t> &amp; algo_rw.c</a:t>
          </a:r>
          <a:endParaRPr lang="fr-FR" sz="1100">
            <a:solidFill>
              <a:schemeClr val="tx1"/>
            </a:solidFill>
          </a:endParaRPr>
        </a:p>
      </xdr:txBody>
    </xdr:sp>
    <xdr:clientData/>
  </xdr:twoCellAnchor>
  <xdr:twoCellAnchor>
    <xdr:from>
      <xdr:col>5</xdr:col>
      <xdr:colOff>190500</xdr:colOff>
      <xdr:row>44</xdr:row>
      <xdr:rowOff>9525</xdr:rowOff>
    </xdr:from>
    <xdr:to>
      <xdr:col>7</xdr:col>
      <xdr:colOff>494270</xdr:colOff>
      <xdr:row>46</xdr:row>
      <xdr:rowOff>144162</xdr:rowOff>
    </xdr:to>
    <xdr:sp macro="" textlink="">
      <xdr:nvSpPr>
        <xdr:cNvPr id="153" name="Rectangle 152">
          <a:extLst>
            <a:ext uri="{FF2B5EF4-FFF2-40B4-BE49-F238E27FC236}">
              <a16:creationId xmlns:a16="http://schemas.microsoft.com/office/drawing/2014/main" id="{3B5AB6E6-2485-4310-AEDB-B318EBDDE159}"/>
            </a:ext>
          </a:extLst>
        </xdr:cNvPr>
        <xdr:cNvSpPr/>
      </xdr:nvSpPr>
      <xdr:spPr>
        <a:xfrm>
          <a:off x="3434149" y="7464768"/>
          <a:ext cx="1868959" cy="5671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GA Classique</a:t>
          </a:r>
        </a:p>
        <a:p>
          <a:pPr algn="ctr"/>
          <a:r>
            <a:rPr lang="fr-FR" sz="1100">
              <a:solidFill>
                <a:schemeClr val="tx1"/>
              </a:solidFill>
            </a:rPr>
            <a:t>algo_gaClassique.h</a:t>
          </a:r>
        </a:p>
        <a:p>
          <a:pPr algn="ctr"/>
          <a:r>
            <a:rPr lang="fr-FR" sz="1100">
              <a:solidFill>
                <a:schemeClr val="tx1"/>
              </a:solidFill>
            </a:rPr>
            <a:t>algo_gaClassique.c</a:t>
          </a:r>
        </a:p>
      </xdr:txBody>
    </xdr:sp>
    <xdr:clientData/>
  </xdr:twoCellAnchor>
  <xdr:twoCellAnchor>
    <xdr:from>
      <xdr:col>5</xdr:col>
      <xdr:colOff>219074</xdr:colOff>
      <xdr:row>47</xdr:row>
      <xdr:rowOff>114300</xdr:rowOff>
    </xdr:from>
    <xdr:to>
      <xdr:col>7</xdr:col>
      <xdr:colOff>483973</xdr:colOff>
      <xdr:row>51</xdr:row>
      <xdr:rowOff>154460</xdr:rowOff>
    </xdr:to>
    <xdr:sp macro="" textlink="">
      <xdr:nvSpPr>
        <xdr:cNvPr id="154" name="Rectangle 153">
          <a:extLst>
            <a:ext uri="{FF2B5EF4-FFF2-40B4-BE49-F238E27FC236}">
              <a16:creationId xmlns:a16="http://schemas.microsoft.com/office/drawing/2014/main" id="{B3D1909A-DEC7-46F1-9E4A-C4F1D208E325}"/>
            </a:ext>
          </a:extLst>
        </xdr:cNvPr>
        <xdr:cNvSpPr/>
      </xdr:nvSpPr>
      <xdr:spPr>
        <a:xfrm>
          <a:off x="3462723" y="8218273"/>
          <a:ext cx="1830088" cy="853646"/>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GA-DPX</a:t>
          </a:r>
        </a:p>
        <a:p>
          <a:pPr algn="ctr"/>
          <a:r>
            <a:rPr lang="fr-FR" sz="1100">
              <a:solidFill>
                <a:schemeClr val="tx1"/>
              </a:solidFill>
            </a:rPr>
            <a:t>algao_gaDpx.h</a:t>
          </a:r>
        </a:p>
        <a:p>
          <a:pPr algn="ctr"/>
          <a:r>
            <a:rPr lang="fr-FR" sz="1100">
              <a:solidFill>
                <a:schemeClr val="tx1"/>
              </a:solidFill>
            </a:rPr>
            <a:t>algo_gaDpx.c</a:t>
          </a:r>
        </a:p>
        <a:p>
          <a:pPr algn="ctr"/>
          <a:endParaRPr lang="fr-FR" sz="1100">
            <a:solidFill>
              <a:schemeClr val="tx1"/>
            </a:solidFill>
          </a:endParaRPr>
        </a:p>
      </xdr:txBody>
    </xdr:sp>
    <xdr:clientData/>
  </xdr:twoCellAnchor>
  <xdr:twoCellAnchor>
    <xdr:from>
      <xdr:col>3</xdr:col>
      <xdr:colOff>676275</xdr:colOff>
      <xdr:row>36</xdr:row>
      <xdr:rowOff>47625</xdr:rowOff>
    </xdr:from>
    <xdr:to>
      <xdr:col>5</xdr:col>
      <xdr:colOff>200025</xdr:colOff>
      <xdr:row>36</xdr:row>
      <xdr:rowOff>47625</xdr:rowOff>
    </xdr:to>
    <xdr:cxnSp macro="">
      <xdr:nvCxnSpPr>
        <xdr:cNvPr id="155" name="Straight Connector 154">
          <a:extLst>
            <a:ext uri="{FF2B5EF4-FFF2-40B4-BE49-F238E27FC236}">
              <a16:creationId xmlns:a16="http://schemas.microsoft.com/office/drawing/2014/main" id="{AA5853E7-BF3B-4881-B006-9727A1B8BF72}"/>
            </a:ext>
          </a:extLst>
        </xdr:cNvPr>
        <xdr:cNvCxnSpPr/>
      </xdr:nvCxnSpPr>
      <xdr:spPr bwMode="auto">
        <a:xfrm>
          <a:off x="2352675" y="6238875"/>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714375</xdr:colOff>
      <xdr:row>40</xdr:row>
      <xdr:rowOff>47625</xdr:rowOff>
    </xdr:from>
    <xdr:to>
      <xdr:col>5</xdr:col>
      <xdr:colOff>238125</xdr:colOff>
      <xdr:row>40</xdr:row>
      <xdr:rowOff>47625</xdr:rowOff>
    </xdr:to>
    <xdr:cxnSp macro="">
      <xdr:nvCxnSpPr>
        <xdr:cNvPr id="156" name="Straight Connector 155">
          <a:extLst>
            <a:ext uri="{FF2B5EF4-FFF2-40B4-BE49-F238E27FC236}">
              <a16:creationId xmlns:a16="http://schemas.microsoft.com/office/drawing/2014/main" id="{A8A7379D-F7F3-4AB5-83B2-2F7E8634509F}"/>
            </a:ext>
          </a:extLst>
        </xdr:cNvPr>
        <xdr:cNvCxnSpPr/>
      </xdr:nvCxnSpPr>
      <xdr:spPr bwMode="auto">
        <a:xfrm>
          <a:off x="2390775" y="6972300"/>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695325</xdr:colOff>
      <xdr:row>30</xdr:row>
      <xdr:rowOff>38100</xdr:rowOff>
    </xdr:from>
    <xdr:to>
      <xdr:col>5</xdr:col>
      <xdr:colOff>219075</xdr:colOff>
      <xdr:row>30</xdr:row>
      <xdr:rowOff>38100</xdr:rowOff>
    </xdr:to>
    <xdr:cxnSp macro="">
      <xdr:nvCxnSpPr>
        <xdr:cNvPr id="157" name="Straight Connector 156">
          <a:extLst>
            <a:ext uri="{FF2B5EF4-FFF2-40B4-BE49-F238E27FC236}">
              <a16:creationId xmlns:a16="http://schemas.microsoft.com/office/drawing/2014/main" id="{A60A0DFF-434E-4816-8E73-5D15C006FFB5}"/>
            </a:ext>
          </a:extLst>
        </xdr:cNvPr>
        <xdr:cNvCxnSpPr/>
      </xdr:nvCxnSpPr>
      <xdr:spPr bwMode="auto">
        <a:xfrm>
          <a:off x="2371725" y="5200650"/>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666750</xdr:colOff>
      <xdr:row>45</xdr:row>
      <xdr:rowOff>114300</xdr:rowOff>
    </xdr:from>
    <xdr:to>
      <xdr:col>5</xdr:col>
      <xdr:colOff>190500</xdr:colOff>
      <xdr:row>45</xdr:row>
      <xdr:rowOff>114300</xdr:rowOff>
    </xdr:to>
    <xdr:cxnSp macro="">
      <xdr:nvCxnSpPr>
        <xdr:cNvPr id="158" name="Straight Connector 157">
          <a:extLst>
            <a:ext uri="{FF2B5EF4-FFF2-40B4-BE49-F238E27FC236}">
              <a16:creationId xmlns:a16="http://schemas.microsoft.com/office/drawing/2014/main" id="{4B24103C-3D61-4918-AD27-BADCA186D123}"/>
            </a:ext>
          </a:extLst>
        </xdr:cNvPr>
        <xdr:cNvCxnSpPr/>
      </xdr:nvCxnSpPr>
      <xdr:spPr bwMode="auto">
        <a:xfrm>
          <a:off x="2343150" y="8039100"/>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714375</xdr:colOff>
      <xdr:row>49</xdr:row>
      <xdr:rowOff>47625</xdr:rowOff>
    </xdr:from>
    <xdr:to>
      <xdr:col>5</xdr:col>
      <xdr:colOff>238125</xdr:colOff>
      <xdr:row>49</xdr:row>
      <xdr:rowOff>47625</xdr:rowOff>
    </xdr:to>
    <xdr:cxnSp macro="">
      <xdr:nvCxnSpPr>
        <xdr:cNvPr id="159" name="Straight Connector 158">
          <a:extLst>
            <a:ext uri="{FF2B5EF4-FFF2-40B4-BE49-F238E27FC236}">
              <a16:creationId xmlns:a16="http://schemas.microsoft.com/office/drawing/2014/main" id="{0E4F9293-67AC-440C-80FE-8E64FB533A4D}"/>
            </a:ext>
          </a:extLst>
        </xdr:cNvPr>
        <xdr:cNvCxnSpPr/>
      </xdr:nvCxnSpPr>
      <xdr:spPr bwMode="auto">
        <a:xfrm>
          <a:off x="2390775" y="8848725"/>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695325</xdr:colOff>
      <xdr:row>35</xdr:row>
      <xdr:rowOff>9525</xdr:rowOff>
    </xdr:from>
    <xdr:to>
      <xdr:col>3</xdr:col>
      <xdr:colOff>695518</xdr:colOff>
      <xdr:row>40</xdr:row>
      <xdr:rowOff>66674</xdr:rowOff>
    </xdr:to>
    <xdr:cxnSp macro="">
      <xdr:nvCxnSpPr>
        <xdr:cNvPr id="162" name="Straight Arrow Connector 161">
          <a:extLst>
            <a:ext uri="{FF2B5EF4-FFF2-40B4-BE49-F238E27FC236}">
              <a16:creationId xmlns:a16="http://schemas.microsoft.com/office/drawing/2014/main" id="{E8259EF5-0BB2-4C30-B1D5-60A3218D8BA0}"/>
            </a:ext>
          </a:extLst>
        </xdr:cNvPr>
        <xdr:cNvCxnSpPr/>
      </xdr:nvCxnSpPr>
      <xdr:spPr bwMode="auto">
        <a:xfrm flipH="1" flipV="1">
          <a:off x="2371725" y="6029325"/>
          <a:ext cx="193" cy="962024"/>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685800</xdr:colOff>
      <xdr:row>44</xdr:row>
      <xdr:rowOff>95250</xdr:rowOff>
    </xdr:from>
    <xdr:to>
      <xdr:col>3</xdr:col>
      <xdr:colOff>695325</xdr:colOff>
      <xdr:row>49</xdr:row>
      <xdr:rowOff>47625</xdr:rowOff>
    </xdr:to>
    <xdr:cxnSp macro="">
      <xdr:nvCxnSpPr>
        <xdr:cNvPr id="163" name="Straight Arrow Connector 162">
          <a:extLst>
            <a:ext uri="{FF2B5EF4-FFF2-40B4-BE49-F238E27FC236}">
              <a16:creationId xmlns:a16="http://schemas.microsoft.com/office/drawing/2014/main" id="{FF0C4240-D72E-4272-88D8-3F81BB5BF929}"/>
            </a:ext>
          </a:extLst>
        </xdr:cNvPr>
        <xdr:cNvCxnSpPr/>
      </xdr:nvCxnSpPr>
      <xdr:spPr bwMode="auto">
        <a:xfrm flipV="1">
          <a:off x="2362200" y="7800975"/>
          <a:ext cx="9525" cy="1047750"/>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124611</xdr:colOff>
      <xdr:row>0</xdr:row>
      <xdr:rowOff>78889</xdr:rowOff>
    </xdr:from>
    <xdr:to>
      <xdr:col>9</xdr:col>
      <xdr:colOff>762000</xdr:colOff>
      <xdr:row>2</xdr:row>
      <xdr:rowOff>71265</xdr:rowOff>
    </xdr:to>
    <xdr:sp macro="" textlink="">
      <xdr:nvSpPr>
        <xdr:cNvPr id="2" name="Text Box 2">
          <a:extLst>
            <a:ext uri="{FF2B5EF4-FFF2-40B4-BE49-F238E27FC236}">
              <a16:creationId xmlns:a16="http://schemas.microsoft.com/office/drawing/2014/main" id="{00000000-0008-0000-0500-000002000000}"/>
            </a:ext>
          </a:extLst>
        </xdr:cNvPr>
        <xdr:cNvSpPr txBox="1">
          <a:spLocks noChangeArrowheads="1"/>
        </xdr:cNvSpPr>
      </xdr:nvSpPr>
      <xdr:spPr bwMode="auto">
        <a:xfrm>
          <a:off x="238911" y="78889"/>
          <a:ext cx="6916269" cy="3733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Work Breakdown Structure (WBS)</a:t>
          </a:r>
        </a:p>
      </xdr:txBody>
    </xdr:sp>
    <xdr:clientData/>
  </xdr:twoCellAnchor>
  <xdr:twoCellAnchor>
    <xdr:from>
      <xdr:col>7</xdr:col>
      <xdr:colOff>746642</xdr:colOff>
      <xdr:row>5</xdr:row>
      <xdr:rowOff>121325</xdr:rowOff>
    </xdr:from>
    <xdr:to>
      <xdr:col>9</xdr:col>
      <xdr:colOff>742447</xdr:colOff>
      <xdr:row>7</xdr:row>
      <xdr:rowOff>130967</xdr:rowOff>
    </xdr:to>
    <xdr:sp macro="" textlink="">
      <xdr:nvSpPr>
        <xdr:cNvPr id="158" name="Rectangle 157">
          <a:extLst>
            <a:ext uri="{FF2B5EF4-FFF2-40B4-BE49-F238E27FC236}">
              <a16:creationId xmlns:a16="http://schemas.microsoft.com/office/drawing/2014/main" id="{FEA8DFF8-2CEA-41AD-AB4D-9552AA64B93E}"/>
            </a:ext>
          </a:extLst>
        </xdr:cNvPr>
        <xdr:cNvSpPr/>
      </xdr:nvSpPr>
      <xdr:spPr>
        <a:xfrm>
          <a:off x="5547242" y="997625"/>
          <a:ext cx="1557905" cy="352542"/>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Projet</a:t>
          </a:r>
          <a:r>
            <a:rPr lang="fr-FR" sz="1100" baseline="0">
              <a:solidFill>
                <a:schemeClr val="tx1"/>
              </a:solidFill>
            </a:rPr>
            <a:t> final tsp</a:t>
          </a:r>
          <a:endParaRPr lang="fr-FR" sz="1100">
            <a:solidFill>
              <a:schemeClr val="tx1"/>
            </a:solidFill>
          </a:endParaRPr>
        </a:p>
      </xdr:txBody>
    </xdr:sp>
    <xdr:clientData/>
  </xdr:twoCellAnchor>
  <xdr:twoCellAnchor>
    <xdr:from>
      <xdr:col>6</xdr:col>
      <xdr:colOff>560073</xdr:colOff>
      <xdr:row>12</xdr:row>
      <xdr:rowOff>149789</xdr:rowOff>
    </xdr:from>
    <xdr:to>
      <xdr:col>9</xdr:col>
      <xdr:colOff>409574</xdr:colOff>
      <xdr:row>16</xdr:row>
      <xdr:rowOff>76200</xdr:rowOff>
    </xdr:to>
    <xdr:sp macro="" textlink="">
      <xdr:nvSpPr>
        <xdr:cNvPr id="159" name="Rectangle 158">
          <a:extLst>
            <a:ext uri="{FF2B5EF4-FFF2-40B4-BE49-F238E27FC236}">
              <a16:creationId xmlns:a16="http://schemas.microsoft.com/office/drawing/2014/main" id="{B3932592-71BA-4881-AE99-AD765F92B6D7}"/>
            </a:ext>
          </a:extLst>
        </xdr:cNvPr>
        <xdr:cNvSpPr/>
      </xdr:nvSpPr>
      <xdr:spPr>
        <a:xfrm>
          <a:off x="3028953" y="2191949"/>
          <a:ext cx="2204081"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WP1 </a:t>
          </a:r>
        </a:p>
        <a:p>
          <a:pPr algn="ctr">
            <a:lnSpc>
              <a:spcPts val="1100"/>
            </a:lnSpc>
          </a:pPr>
          <a:r>
            <a:rPr lang="fr-FR" sz="1100">
              <a:solidFill>
                <a:schemeClr val="tx1"/>
              </a:solidFill>
            </a:rPr>
            <a:t>implémenter les premiers</a:t>
          </a:r>
          <a:r>
            <a:rPr lang="fr-FR" sz="1100" baseline="0">
              <a:solidFill>
                <a:schemeClr val="tx1"/>
              </a:solidFill>
            </a:rPr>
            <a:t> algorithmes</a:t>
          </a:r>
          <a:endParaRPr lang="fr-FR" sz="1100">
            <a:solidFill>
              <a:schemeClr val="tx1"/>
            </a:solidFill>
          </a:endParaRPr>
        </a:p>
      </xdr:txBody>
    </xdr:sp>
    <xdr:clientData/>
  </xdr:twoCellAnchor>
  <xdr:twoCellAnchor>
    <xdr:from>
      <xdr:col>10</xdr:col>
      <xdr:colOff>329922</xdr:colOff>
      <xdr:row>12</xdr:row>
      <xdr:rowOff>159315</xdr:rowOff>
    </xdr:from>
    <xdr:to>
      <xdr:col>12</xdr:col>
      <xdr:colOff>704850</xdr:colOff>
      <xdr:row>15</xdr:row>
      <xdr:rowOff>104775</xdr:rowOff>
    </xdr:to>
    <xdr:sp macro="" textlink="">
      <xdr:nvSpPr>
        <xdr:cNvPr id="160" name="Rectangle 159">
          <a:extLst>
            <a:ext uri="{FF2B5EF4-FFF2-40B4-BE49-F238E27FC236}">
              <a16:creationId xmlns:a16="http://schemas.microsoft.com/office/drawing/2014/main" id="{1E4E47D9-245F-45A0-B790-6718C4EB29F0}"/>
            </a:ext>
          </a:extLst>
        </xdr:cNvPr>
        <xdr:cNvSpPr/>
      </xdr:nvSpPr>
      <xdr:spPr>
        <a:xfrm>
          <a:off x="5938242" y="2201475"/>
          <a:ext cx="1944648" cy="44838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WP2 </a:t>
          </a:r>
        </a:p>
        <a:p>
          <a:pPr algn="ctr"/>
          <a:r>
            <a:rPr lang="fr-FR" sz="1100">
              <a:solidFill>
                <a:schemeClr val="tx1"/>
              </a:solidFill>
            </a:rPr>
            <a:t>Heuristiques &amp;</a:t>
          </a:r>
          <a:r>
            <a:rPr lang="fr-FR" sz="1100" baseline="0">
              <a:solidFill>
                <a:schemeClr val="tx1"/>
              </a:solidFill>
            </a:rPr>
            <a:t> GA</a:t>
          </a:r>
          <a:endParaRPr lang="fr-FR" sz="1100">
            <a:solidFill>
              <a:schemeClr val="tx1"/>
            </a:solidFill>
          </a:endParaRPr>
        </a:p>
      </xdr:txBody>
    </xdr:sp>
    <xdr:clientData/>
  </xdr:twoCellAnchor>
  <xdr:twoCellAnchor>
    <xdr:from>
      <xdr:col>15</xdr:col>
      <xdr:colOff>76305</xdr:colOff>
      <xdr:row>12</xdr:row>
      <xdr:rowOff>81591</xdr:rowOff>
    </xdr:from>
    <xdr:to>
      <xdr:col>17</xdr:col>
      <xdr:colOff>457200</xdr:colOff>
      <xdr:row>15</xdr:row>
      <xdr:rowOff>47625</xdr:rowOff>
    </xdr:to>
    <xdr:sp macro="" textlink="">
      <xdr:nvSpPr>
        <xdr:cNvPr id="161" name="Rectangle 160">
          <a:extLst>
            <a:ext uri="{FF2B5EF4-FFF2-40B4-BE49-F238E27FC236}">
              <a16:creationId xmlns:a16="http://schemas.microsoft.com/office/drawing/2014/main" id="{DCD528C2-18D6-4D81-9999-4712CDFB5FCC}"/>
            </a:ext>
          </a:extLst>
        </xdr:cNvPr>
        <xdr:cNvSpPr/>
      </xdr:nvSpPr>
      <xdr:spPr>
        <a:xfrm>
          <a:off x="9608925" y="2123751"/>
          <a:ext cx="1950615" cy="46895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WP3 </a:t>
          </a:r>
        </a:p>
        <a:p>
          <a:pPr algn="ctr">
            <a:lnSpc>
              <a:spcPts val="1100"/>
            </a:lnSpc>
          </a:pPr>
          <a:r>
            <a:rPr lang="fr-FR" sz="1100">
              <a:solidFill>
                <a:schemeClr val="tx1"/>
              </a:solidFill>
            </a:rPr>
            <a:t>Finalisation</a:t>
          </a:r>
          <a:r>
            <a:rPr lang="fr-FR" sz="1100" baseline="0">
              <a:solidFill>
                <a:schemeClr val="tx1"/>
              </a:solidFill>
            </a:rPr>
            <a:t> &amp; recette</a:t>
          </a:r>
          <a:endParaRPr lang="fr-FR" sz="1100">
            <a:solidFill>
              <a:schemeClr val="tx1"/>
            </a:solidFill>
          </a:endParaRPr>
        </a:p>
      </xdr:txBody>
    </xdr:sp>
    <xdr:clientData/>
  </xdr:twoCellAnchor>
  <xdr:twoCellAnchor>
    <xdr:from>
      <xdr:col>8</xdr:col>
      <xdr:colOff>485387</xdr:colOff>
      <xdr:row>18</xdr:row>
      <xdr:rowOff>57150</xdr:rowOff>
    </xdr:from>
    <xdr:to>
      <xdr:col>11</xdr:col>
      <xdr:colOff>295274</xdr:colOff>
      <xdr:row>21</xdr:row>
      <xdr:rowOff>9525</xdr:rowOff>
    </xdr:to>
    <xdr:sp macro="" textlink="">
      <xdr:nvSpPr>
        <xdr:cNvPr id="162" name="Rectangle 161">
          <a:extLst>
            <a:ext uri="{FF2B5EF4-FFF2-40B4-BE49-F238E27FC236}">
              <a16:creationId xmlns:a16="http://schemas.microsoft.com/office/drawing/2014/main" id="{028F3BCF-45AA-4C98-8019-8EB863521935}"/>
            </a:ext>
          </a:extLst>
        </xdr:cNvPr>
        <xdr:cNvSpPr/>
      </xdr:nvSpPr>
      <xdr:spPr>
        <a:xfrm>
          <a:off x="6067037" y="3162300"/>
          <a:ext cx="2153037" cy="46672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Implémenter</a:t>
          </a:r>
          <a:r>
            <a:rPr lang="fr-FR" sz="1100" baseline="0">
              <a:solidFill>
                <a:schemeClr val="tx1"/>
              </a:solidFill>
            </a:rPr>
            <a:t> le Parsing TSPLIB</a:t>
          </a:r>
          <a:endParaRPr lang="fr-FR" sz="1100">
            <a:solidFill>
              <a:schemeClr val="tx1"/>
            </a:solidFill>
          </a:endParaRPr>
        </a:p>
      </xdr:txBody>
    </xdr:sp>
    <xdr:clientData/>
  </xdr:twoCellAnchor>
  <xdr:twoCellAnchor>
    <xdr:from>
      <xdr:col>8</xdr:col>
      <xdr:colOff>513962</xdr:colOff>
      <xdr:row>23</xdr:row>
      <xdr:rowOff>156169</xdr:rowOff>
    </xdr:from>
    <xdr:to>
      <xdr:col>11</xdr:col>
      <xdr:colOff>314325</xdr:colOff>
      <xdr:row>26</xdr:row>
      <xdr:rowOff>85724</xdr:rowOff>
    </xdr:to>
    <xdr:sp macro="" textlink="">
      <xdr:nvSpPr>
        <xdr:cNvPr id="163" name="Rectangle 162">
          <a:extLst>
            <a:ext uri="{FF2B5EF4-FFF2-40B4-BE49-F238E27FC236}">
              <a16:creationId xmlns:a16="http://schemas.microsoft.com/office/drawing/2014/main" id="{C3E7BA94-1108-4774-AED6-305E057E6A04}"/>
            </a:ext>
          </a:extLst>
        </xdr:cNvPr>
        <xdr:cNvSpPr/>
      </xdr:nvSpPr>
      <xdr:spPr>
        <a:xfrm>
          <a:off x="6095612" y="4118569"/>
          <a:ext cx="2143513" cy="44390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a:t>
          </a:r>
          <a:r>
            <a:rPr lang="fr-FR" sz="1100" baseline="0">
              <a:solidFill>
                <a:schemeClr val="tx1"/>
              </a:solidFill>
            </a:rPr>
            <a:t> le calcul des distances(EUC_2D, ATT, GEO)</a:t>
          </a:r>
          <a:endParaRPr lang="fr-FR" sz="1100">
            <a:solidFill>
              <a:schemeClr val="tx1"/>
            </a:solidFill>
          </a:endParaRPr>
        </a:p>
      </xdr:txBody>
    </xdr:sp>
    <xdr:clientData/>
  </xdr:twoCellAnchor>
  <xdr:twoCellAnchor>
    <xdr:from>
      <xdr:col>4</xdr:col>
      <xdr:colOff>618738</xdr:colOff>
      <xdr:row>18</xdr:row>
      <xdr:rowOff>71213</xdr:rowOff>
    </xdr:from>
    <xdr:to>
      <xdr:col>7</xdr:col>
      <xdr:colOff>457200</xdr:colOff>
      <xdr:row>21</xdr:row>
      <xdr:rowOff>9524</xdr:rowOff>
    </xdr:to>
    <xdr:sp macro="" textlink="">
      <xdr:nvSpPr>
        <xdr:cNvPr id="164" name="Rectangle 163">
          <a:extLst>
            <a:ext uri="{FF2B5EF4-FFF2-40B4-BE49-F238E27FC236}">
              <a16:creationId xmlns:a16="http://schemas.microsoft.com/office/drawing/2014/main" id="{CB16D6D0-4D1F-4E9D-9088-2021A7E7D5DF}"/>
            </a:ext>
          </a:extLst>
        </xdr:cNvPr>
        <xdr:cNvSpPr/>
      </xdr:nvSpPr>
      <xdr:spPr>
        <a:xfrm>
          <a:off x="1517898" y="3119213"/>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 la</a:t>
          </a:r>
          <a:r>
            <a:rPr lang="fr-FR" sz="1100" baseline="0">
              <a:solidFill>
                <a:schemeClr val="tx1"/>
              </a:solidFill>
            </a:rPr>
            <a:t> capture du besoion et le cahier des charges</a:t>
          </a:r>
          <a:endParaRPr lang="fr-FR" sz="1100">
            <a:solidFill>
              <a:schemeClr val="tx1"/>
            </a:solidFill>
          </a:endParaRPr>
        </a:p>
      </xdr:txBody>
    </xdr:sp>
    <xdr:clientData/>
  </xdr:twoCellAnchor>
  <xdr:twoCellAnchor>
    <xdr:from>
      <xdr:col>12</xdr:col>
      <xdr:colOff>384774</xdr:colOff>
      <xdr:row>17</xdr:row>
      <xdr:rowOff>21307</xdr:rowOff>
    </xdr:from>
    <xdr:to>
      <xdr:col>15</xdr:col>
      <xdr:colOff>228599</xdr:colOff>
      <xdr:row>20</xdr:row>
      <xdr:rowOff>104775</xdr:rowOff>
    </xdr:to>
    <xdr:sp macro="" textlink="">
      <xdr:nvSpPr>
        <xdr:cNvPr id="165" name="Rectangle 164">
          <a:extLst>
            <a:ext uri="{FF2B5EF4-FFF2-40B4-BE49-F238E27FC236}">
              <a16:creationId xmlns:a16="http://schemas.microsoft.com/office/drawing/2014/main" id="{25FD0534-B623-483C-BCCA-68B1450939A5}"/>
            </a:ext>
          </a:extLst>
        </xdr:cNvPr>
        <xdr:cNvSpPr/>
      </xdr:nvSpPr>
      <xdr:spPr>
        <a:xfrm>
          <a:off x="7562814" y="2901667"/>
          <a:ext cx="2198405" cy="586388"/>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Implémenter</a:t>
          </a:r>
          <a:r>
            <a:rPr lang="fr-FR" sz="1100" baseline="0">
              <a:solidFill>
                <a:schemeClr val="tx1"/>
              </a:solidFill>
            </a:rPr>
            <a:t> Random Walk (RW)</a:t>
          </a:r>
          <a:endParaRPr lang="fr-FR" sz="1100">
            <a:solidFill>
              <a:schemeClr val="tx1"/>
            </a:solidFill>
          </a:endParaRPr>
        </a:p>
      </xdr:txBody>
    </xdr:sp>
    <xdr:clientData/>
  </xdr:twoCellAnchor>
  <xdr:twoCellAnchor>
    <xdr:from>
      <xdr:col>12</xdr:col>
      <xdr:colOff>413349</xdr:colOff>
      <xdr:row>22</xdr:row>
      <xdr:rowOff>125312</xdr:rowOff>
    </xdr:from>
    <xdr:to>
      <xdr:col>15</xdr:col>
      <xdr:colOff>209550</xdr:colOff>
      <xdr:row>25</xdr:row>
      <xdr:rowOff>142875</xdr:rowOff>
    </xdr:to>
    <xdr:sp macro="" textlink="">
      <xdr:nvSpPr>
        <xdr:cNvPr id="166" name="Rectangle 165">
          <a:extLst>
            <a:ext uri="{FF2B5EF4-FFF2-40B4-BE49-F238E27FC236}">
              <a16:creationId xmlns:a16="http://schemas.microsoft.com/office/drawing/2014/main" id="{37609F77-543C-4732-88A4-24BBBEC7560F}"/>
            </a:ext>
          </a:extLst>
        </xdr:cNvPr>
        <xdr:cNvSpPr/>
      </xdr:nvSpPr>
      <xdr:spPr>
        <a:xfrm>
          <a:off x="7591389" y="3843872"/>
          <a:ext cx="2150781" cy="52048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200"/>
            </a:lnSpc>
          </a:pPr>
          <a:r>
            <a:rPr lang="fr-FR" sz="1100">
              <a:solidFill>
                <a:schemeClr val="tx1"/>
              </a:solidFill>
            </a:rPr>
            <a:t>Implémenter</a:t>
          </a:r>
          <a:r>
            <a:rPr lang="fr-FR" sz="1100" baseline="0">
              <a:solidFill>
                <a:schemeClr val="tx1"/>
              </a:solidFill>
            </a:rPr>
            <a:t> 2-opt (nn/rw)</a:t>
          </a:r>
          <a:endParaRPr lang="fr-FR" sz="1100">
            <a:solidFill>
              <a:schemeClr val="tx1"/>
            </a:solidFill>
          </a:endParaRPr>
        </a:p>
      </xdr:txBody>
    </xdr:sp>
    <xdr:clientData/>
  </xdr:twoCellAnchor>
  <xdr:twoCellAnchor>
    <xdr:from>
      <xdr:col>16</xdr:col>
      <xdr:colOff>473983</xdr:colOff>
      <xdr:row>27</xdr:row>
      <xdr:rowOff>81260</xdr:rowOff>
    </xdr:from>
    <xdr:to>
      <xdr:col>19</xdr:col>
      <xdr:colOff>238125</xdr:colOff>
      <xdr:row>29</xdr:row>
      <xdr:rowOff>123825</xdr:rowOff>
    </xdr:to>
    <xdr:sp macro="" textlink="">
      <xdr:nvSpPr>
        <xdr:cNvPr id="167" name="Rectangle 166">
          <a:extLst>
            <a:ext uri="{FF2B5EF4-FFF2-40B4-BE49-F238E27FC236}">
              <a16:creationId xmlns:a16="http://schemas.microsoft.com/office/drawing/2014/main" id="{E0B7630E-64A0-445C-9347-74DE8193B4D4}"/>
            </a:ext>
          </a:extLst>
        </xdr:cNvPr>
        <xdr:cNvSpPr/>
      </xdr:nvSpPr>
      <xdr:spPr>
        <a:xfrm>
          <a:off x="10791463" y="4638020"/>
          <a:ext cx="2118722" cy="57596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Organiser</a:t>
          </a:r>
          <a:r>
            <a:rPr lang="fr-FR" sz="1100" baseline="0">
              <a:solidFill>
                <a:schemeClr val="tx1"/>
              </a:solidFill>
            </a:rPr>
            <a:t> le code, mettre des commentaires et les modules </a:t>
          </a:r>
          <a:endParaRPr lang="fr-FR" sz="1100">
            <a:solidFill>
              <a:schemeClr val="tx1"/>
            </a:solidFill>
          </a:endParaRPr>
        </a:p>
      </xdr:txBody>
    </xdr:sp>
    <xdr:clientData/>
  </xdr:twoCellAnchor>
  <xdr:twoCellAnchor>
    <xdr:from>
      <xdr:col>16</xdr:col>
      <xdr:colOff>378733</xdr:colOff>
      <xdr:row>17</xdr:row>
      <xdr:rowOff>15974</xdr:rowOff>
    </xdr:from>
    <xdr:to>
      <xdr:col>19</xdr:col>
      <xdr:colOff>123825</xdr:colOff>
      <xdr:row>20</xdr:row>
      <xdr:rowOff>19050</xdr:rowOff>
    </xdr:to>
    <xdr:sp macro="" textlink="">
      <xdr:nvSpPr>
        <xdr:cNvPr id="168" name="Rectangle 167">
          <a:extLst>
            <a:ext uri="{FF2B5EF4-FFF2-40B4-BE49-F238E27FC236}">
              <a16:creationId xmlns:a16="http://schemas.microsoft.com/office/drawing/2014/main" id="{4C32C6CD-9C87-4295-8380-419817C9805C}"/>
            </a:ext>
          </a:extLst>
        </xdr:cNvPr>
        <xdr:cNvSpPr/>
      </xdr:nvSpPr>
      <xdr:spPr>
        <a:xfrm>
          <a:off x="10696213" y="2896334"/>
          <a:ext cx="2099672" cy="505996"/>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GA-DPX</a:t>
          </a:r>
        </a:p>
      </xdr:txBody>
    </xdr:sp>
    <xdr:clientData/>
  </xdr:twoCellAnchor>
  <xdr:twoCellAnchor>
    <xdr:from>
      <xdr:col>16</xdr:col>
      <xdr:colOff>426358</xdr:colOff>
      <xdr:row>22</xdr:row>
      <xdr:rowOff>137390</xdr:rowOff>
    </xdr:from>
    <xdr:to>
      <xdr:col>19</xdr:col>
      <xdr:colOff>228600</xdr:colOff>
      <xdr:row>25</xdr:row>
      <xdr:rowOff>123825</xdr:rowOff>
    </xdr:to>
    <xdr:sp macro="" textlink="">
      <xdr:nvSpPr>
        <xdr:cNvPr id="169" name="Rectangle 168">
          <a:extLst>
            <a:ext uri="{FF2B5EF4-FFF2-40B4-BE49-F238E27FC236}">
              <a16:creationId xmlns:a16="http://schemas.microsoft.com/office/drawing/2014/main" id="{1A11CAD5-623F-43A8-A752-B69F59FE8630}"/>
            </a:ext>
          </a:extLst>
        </xdr:cNvPr>
        <xdr:cNvSpPr/>
      </xdr:nvSpPr>
      <xdr:spPr>
        <a:xfrm>
          <a:off x="10743838" y="3855950"/>
          <a:ext cx="2156822" cy="48935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a:t>
          </a:r>
          <a:r>
            <a:rPr lang="fr-FR" sz="1100" baseline="0">
              <a:solidFill>
                <a:schemeClr val="tx1"/>
              </a:solidFill>
            </a:rPr>
            <a:t> mode ALL</a:t>
          </a:r>
          <a:endParaRPr lang="fr-FR" sz="1100">
            <a:solidFill>
              <a:schemeClr val="tx1"/>
            </a:solidFill>
          </a:endParaRPr>
        </a:p>
      </xdr:txBody>
    </xdr:sp>
    <xdr:clientData/>
  </xdr:twoCellAnchor>
  <xdr:twoCellAnchor>
    <xdr:from>
      <xdr:col>3</xdr:col>
      <xdr:colOff>152401</xdr:colOff>
      <xdr:row>12</xdr:row>
      <xdr:rowOff>126239</xdr:rowOff>
    </xdr:from>
    <xdr:to>
      <xdr:col>5</xdr:col>
      <xdr:colOff>581025</xdr:colOff>
      <xdr:row>16</xdr:row>
      <xdr:rowOff>19050</xdr:rowOff>
    </xdr:to>
    <xdr:sp macro="" textlink="">
      <xdr:nvSpPr>
        <xdr:cNvPr id="170" name="Rectangle 169">
          <a:extLst>
            <a:ext uri="{FF2B5EF4-FFF2-40B4-BE49-F238E27FC236}">
              <a16:creationId xmlns:a16="http://schemas.microsoft.com/office/drawing/2014/main" id="{E85755DA-26C8-49DD-90F2-2BE3769B781C}"/>
            </a:ext>
          </a:extLst>
        </xdr:cNvPr>
        <xdr:cNvSpPr/>
      </xdr:nvSpPr>
      <xdr:spPr>
        <a:xfrm>
          <a:off x="266701" y="2168399"/>
          <a:ext cx="1998344" cy="5633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200"/>
            </a:lnSpc>
          </a:pPr>
          <a:r>
            <a:rPr lang="fr-FR" sz="1100">
              <a:solidFill>
                <a:schemeClr val="tx1"/>
              </a:solidFill>
            </a:rPr>
            <a:t>WP0 </a:t>
          </a:r>
        </a:p>
        <a:p>
          <a:pPr algn="ctr">
            <a:lnSpc>
              <a:spcPts val="1200"/>
            </a:lnSpc>
          </a:pPr>
          <a:r>
            <a:rPr lang="fr-FR" sz="1100">
              <a:solidFill>
                <a:schemeClr val="tx1"/>
              </a:solidFill>
            </a:rPr>
            <a:t>Faire</a:t>
          </a:r>
          <a:r>
            <a:rPr lang="fr-FR" sz="1100" baseline="0">
              <a:solidFill>
                <a:schemeClr val="tx1"/>
              </a:solidFill>
            </a:rPr>
            <a:t> le cadrage et la conception</a:t>
          </a:r>
          <a:endParaRPr lang="fr-FR" sz="1100">
            <a:solidFill>
              <a:schemeClr val="tx1"/>
            </a:solidFill>
          </a:endParaRPr>
        </a:p>
      </xdr:txBody>
    </xdr:sp>
    <xdr:clientData/>
  </xdr:twoCellAnchor>
  <xdr:twoCellAnchor>
    <xdr:from>
      <xdr:col>4</xdr:col>
      <xdr:colOff>609600</xdr:colOff>
      <xdr:row>23</xdr:row>
      <xdr:rowOff>0</xdr:rowOff>
    </xdr:from>
    <xdr:to>
      <xdr:col>7</xdr:col>
      <xdr:colOff>448062</xdr:colOff>
      <xdr:row>25</xdr:row>
      <xdr:rowOff>109761</xdr:rowOff>
    </xdr:to>
    <xdr:sp macro="" textlink="">
      <xdr:nvSpPr>
        <xdr:cNvPr id="171" name="Rectangle 170">
          <a:extLst>
            <a:ext uri="{FF2B5EF4-FFF2-40B4-BE49-F238E27FC236}">
              <a16:creationId xmlns:a16="http://schemas.microsoft.com/office/drawing/2014/main" id="{03F5A453-44B3-46CB-BE73-255E362FA347}"/>
            </a:ext>
          </a:extLst>
        </xdr:cNvPr>
        <xdr:cNvSpPr/>
      </xdr:nvSpPr>
      <xdr:spPr>
        <a:xfrm>
          <a:off x="1508760" y="3886200"/>
          <a:ext cx="2193042" cy="44504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 le PBS,WBS,OBS</a:t>
          </a:r>
          <a:r>
            <a:rPr lang="fr-FR" sz="1100" baseline="0">
              <a:solidFill>
                <a:schemeClr val="tx1"/>
              </a:solidFill>
            </a:rPr>
            <a:t> et Planning initial de reference</a:t>
          </a:r>
          <a:endParaRPr lang="fr-FR" sz="1100">
            <a:solidFill>
              <a:schemeClr val="tx1"/>
            </a:solidFill>
          </a:endParaRPr>
        </a:p>
      </xdr:txBody>
    </xdr:sp>
    <xdr:clientData/>
  </xdr:twoCellAnchor>
  <xdr:twoCellAnchor>
    <xdr:from>
      <xdr:col>4</xdr:col>
      <xdr:colOff>609600</xdr:colOff>
      <xdr:row>27</xdr:row>
      <xdr:rowOff>66675</xdr:rowOff>
    </xdr:from>
    <xdr:to>
      <xdr:col>7</xdr:col>
      <xdr:colOff>448062</xdr:colOff>
      <xdr:row>28</xdr:row>
      <xdr:rowOff>347886</xdr:rowOff>
    </xdr:to>
    <xdr:sp macro="" textlink="">
      <xdr:nvSpPr>
        <xdr:cNvPr id="172" name="Rectangle 171">
          <a:extLst>
            <a:ext uri="{FF2B5EF4-FFF2-40B4-BE49-F238E27FC236}">
              <a16:creationId xmlns:a16="http://schemas.microsoft.com/office/drawing/2014/main" id="{206ED4CF-E301-41A5-8A3E-B927DD6217C9}"/>
            </a:ext>
          </a:extLst>
        </xdr:cNvPr>
        <xdr:cNvSpPr/>
      </xdr:nvSpPr>
      <xdr:spPr>
        <a:xfrm>
          <a:off x="1508760" y="4623435"/>
          <a:ext cx="2193042" cy="44885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Répartir les tâches et organiser</a:t>
          </a:r>
          <a:r>
            <a:rPr lang="fr-FR" sz="1100" baseline="0">
              <a:solidFill>
                <a:schemeClr val="tx1"/>
              </a:solidFill>
            </a:rPr>
            <a:t> l'équipe</a:t>
          </a:r>
          <a:endParaRPr lang="fr-FR" sz="1100">
            <a:solidFill>
              <a:schemeClr val="tx1"/>
            </a:solidFill>
          </a:endParaRPr>
        </a:p>
      </xdr:txBody>
    </xdr:sp>
    <xdr:clientData/>
  </xdr:twoCellAnchor>
  <xdr:twoCellAnchor>
    <xdr:from>
      <xdr:col>8</xdr:col>
      <xdr:colOff>523875</xdr:colOff>
      <xdr:row>28</xdr:row>
      <xdr:rowOff>9525</xdr:rowOff>
    </xdr:from>
    <xdr:to>
      <xdr:col>11</xdr:col>
      <xdr:colOff>362337</xdr:colOff>
      <xdr:row>29</xdr:row>
      <xdr:rowOff>100236</xdr:rowOff>
    </xdr:to>
    <xdr:sp macro="" textlink="">
      <xdr:nvSpPr>
        <xdr:cNvPr id="173" name="Rectangle 172">
          <a:extLst>
            <a:ext uri="{FF2B5EF4-FFF2-40B4-BE49-F238E27FC236}">
              <a16:creationId xmlns:a16="http://schemas.microsoft.com/office/drawing/2014/main" id="{DE27E477-F51D-4F40-B90D-195C2660576F}"/>
            </a:ext>
          </a:extLst>
        </xdr:cNvPr>
        <xdr:cNvSpPr/>
      </xdr:nvSpPr>
      <xdr:spPr>
        <a:xfrm>
          <a:off x="4562475" y="4733925"/>
          <a:ext cx="2193042" cy="4564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la force brute et la force</a:t>
          </a:r>
          <a:r>
            <a:rPr lang="fr-FR" sz="1100" baseline="0">
              <a:solidFill>
                <a:schemeClr val="tx1"/>
              </a:solidFill>
            </a:rPr>
            <a:t> brute avec matrice</a:t>
          </a:r>
          <a:endParaRPr lang="fr-FR" sz="1100">
            <a:solidFill>
              <a:schemeClr val="tx1"/>
            </a:solidFill>
          </a:endParaRPr>
        </a:p>
      </xdr:txBody>
    </xdr:sp>
    <xdr:clientData/>
  </xdr:twoCellAnchor>
  <xdr:twoCellAnchor>
    <xdr:from>
      <xdr:col>8</xdr:col>
      <xdr:colOff>542925</xdr:colOff>
      <xdr:row>31</xdr:row>
      <xdr:rowOff>142875</xdr:rowOff>
    </xdr:from>
    <xdr:to>
      <xdr:col>11</xdr:col>
      <xdr:colOff>381387</xdr:colOff>
      <xdr:row>34</xdr:row>
      <xdr:rowOff>81186</xdr:rowOff>
    </xdr:to>
    <xdr:sp macro="" textlink="">
      <xdr:nvSpPr>
        <xdr:cNvPr id="174" name="Rectangle 173">
          <a:extLst>
            <a:ext uri="{FF2B5EF4-FFF2-40B4-BE49-F238E27FC236}">
              <a16:creationId xmlns:a16="http://schemas.microsoft.com/office/drawing/2014/main" id="{00FA221E-1CA2-4215-9118-BE977F74D120}"/>
            </a:ext>
          </a:extLst>
        </xdr:cNvPr>
        <xdr:cNvSpPr/>
      </xdr:nvSpPr>
      <xdr:spPr>
        <a:xfrm>
          <a:off x="4581525" y="5568315"/>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le plus proche</a:t>
          </a:r>
          <a:r>
            <a:rPr lang="fr-FR" sz="1100" baseline="0">
              <a:solidFill>
                <a:schemeClr val="tx1"/>
              </a:solidFill>
            </a:rPr>
            <a:t> voisin</a:t>
          </a:r>
          <a:endParaRPr lang="fr-FR" sz="1100">
            <a:solidFill>
              <a:schemeClr val="tx1"/>
            </a:solidFill>
          </a:endParaRPr>
        </a:p>
      </xdr:txBody>
    </xdr:sp>
    <xdr:clientData/>
  </xdr:twoCellAnchor>
  <xdr:twoCellAnchor>
    <xdr:from>
      <xdr:col>8</xdr:col>
      <xdr:colOff>561975</xdr:colOff>
      <xdr:row>36</xdr:row>
      <xdr:rowOff>152400</xdr:rowOff>
    </xdr:from>
    <xdr:to>
      <xdr:col>11</xdr:col>
      <xdr:colOff>400437</xdr:colOff>
      <xdr:row>39</xdr:row>
      <xdr:rowOff>90711</xdr:rowOff>
    </xdr:to>
    <xdr:sp macro="" textlink="">
      <xdr:nvSpPr>
        <xdr:cNvPr id="175" name="Rectangle 174">
          <a:extLst>
            <a:ext uri="{FF2B5EF4-FFF2-40B4-BE49-F238E27FC236}">
              <a16:creationId xmlns:a16="http://schemas.microsoft.com/office/drawing/2014/main" id="{63F9CBF4-2919-4AC5-B481-383E5C694670}"/>
            </a:ext>
          </a:extLst>
        </xdr:cNvPr>
        <xdr:cNvSpPr/>
      </xdr:nvSpPr>
      <xdr:spPr>
        <a:xfrm>
          <a:off x="4600575" y="6416040"/>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l'interface</a:t>
          </a:r>
          <a:r>
            <a:rPr lang="fr-FR" sz="1100" baseline="0">
              <a:solidFill>
                <a:schemeClr val="tx1"/>
              </a:solidFill>
            </a:rPr>
            <a:t> CLI( première version)</a:t>
          </a:r>
          <a:endParaRPr lang="fr-FR" sz="1100">
            <a:solidFill>
              <a:schemeClr val="tx1"/>
            </a:solidFill>
          </a:endParaRPr>
        </a:p>
      </xdr:txBody>
    </xdr:sp>
    <xdr:clientData/>
  </xdr:twoCellAnchor>
  <xdr:twoCellAnchor>
    <xdr:from>
      <xdr:col>8</xdr:col>
      <xdr:colOff>552450</xdr:colOff>
      <xdr:row>41</xdr:row>
      <xdr:rowOff>104775</xdr:rowOff>
    </xdr:from>
    <xdr:to>
      <xdr:col>11</xdr:col>
      <xdr:colOff>390912</xdr:colOff>
      <xdr:row>44</xdr:row>
      <xdr:rowOff>43086</xdr:rowOff>
    </xdr:to>
    <xdr:sp macro="" textlink="">
      <xdr:nvSpPr>
        <xdr:cNvPr id="176" name="Rectangle 175">
          <a:extLst>
            <a:ext uri="{FF2B5EF4-FFF2-40B4-BE49-F238E27FC236}">
              <a16:creationId xmlns:a16="http://schemas.microsoft.com/office/drawing/2014/main" id="{9D16F531-149B-4D4A-8033-08519967771F}"/>
            </a:ext>
          </a:extLst>
        </xdr:cNvPr>
        <xdr:cNvSpPr/>
      </xdr:nvSpPr>
      <xdr:spPr>
        <a:xfrm>
          <a:off x="4591050" y="7206615"/>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l'export</a:t>
          </a:r>
          <a:r>
            <a:rPr lang="fr-FR" sz="1100" baseline="0">
              <a:solidFill>
                <a:schemeClr val="tx1"/>
              </a:solidFill>
            </a:rPr>
            <a:t> CSV ( première version)</a:t>
          </a:r>
          <a:endParaRPr lang="fr-FR" sz="1100">
            <a:solidFill>
              <a:schemeClr val="tx1"/>
            </a:solidFill>
          </a:endParaRPr>
        </a:p>
      </xdr:txBody>
    </xdr:sp>
    <xdr:clientData/>
  </xdr:twoCellAnchor>
  <xdr:twoCellAnchor>
    <xdr:from>
      <xdr:col>8</xdr:col>
      <xdr:colOff>552450</xdr:colOff>
      <xdr:row>45</xdr:row>
      <xdr:rowOff>200025</xdr:rowOff>
    </xdr:from>
    <xdr:to>
      <xdr:col>11</xdr:col>
      <xdr:colOff>390912</xdr:colOff>
      <xdr:row>47</xdr:row>
      <xdr:rowOff>214536</xdr:rowOff>
    </xdr:to>
    <xdr:sp macro="" textlink="">
      <xdr:nvSpPr>
        <xdr:cNvPr id="177" name="Rectangle 176">
          <a:extLst>
            <a:ext uri="{FF2B5EF4-FFF2-40B4-BE49-F238E27FC236}">
              <a16:creationId xmlns:a16="http://schemas.microsoft.com/office/drawing/2014/main" id="{B07AE319-9504-4CC4-8DCC-2B0E0BDE02E6}"/>
            </a:ext>
          </a:extLst>
        </xdr:cNvPr>
        <xdr:cNvSpPr/>
      </xdr:nvSpPr>
      <xdr:spPr>
        <a:xfrm>
          <a:off x="4591050" y="7972425"/>
          <a:ext cx="2193042" cy="4564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 des</a:t>
          </a:r>
          <a:r>
            <a:rPr lang="fr-FR" sz="1100" baseline="0">
              <a:solidFill>
                <a:schemeClr val="tx1"/>
              </a:solidFill>
            </a:rPr>
            <a:t> jeux de tests avec att10 et att15. </a:t>
          </a:r>
          <a:endParaRPr lang="fr-FR" sz="1100">
            <a:solidFill>
              <a:schemeClr val="tx1"/>
            </a:solidFill>
          </a:endParaRPr>
        </a:p>
      </xdr:txBody>
    </xdr:sp>
    <xdr:clientData/>
  </xdr:twoCellAnchor>
  <xdr:twoCellAnchor>
    <xdr:from>
      <xdr:col>12</xdr:col>
      <xdr:colOff>371475</xdr:colOff>
      <xdr:row>28</xdr:row>
      <xdr:rowOff>57150</xdr:rowOff>
    </xdr:from>
    <xdr:to>
      <xdr:col>15</xdr:col>
      <xdr:colOff>209937</xdr:colOff>
      <xdr:row>29</xdr:row>
      <xdr:rowOff>147861</xdr:rowOff>
    </xdr:to>
    <xdr:sp macro="" textlink="">
      <xdr:nvSpPr>
        <xdr:cNvPr id="178" name="Rectangle 177">
          <a:extLst>
            <a:ext uri="{FF2B5EF4-FFF2-40B4-BE49-F238E27FC236}">
              <a16:creationId xmlns:a16="http://schemas.microsoft.com/office/drawing/2014/main" id="{4C500F5F-0EE4-40C6-9BEB-0D2999243D35}"/>
            </a:ext>
          </a:extLst>
        </xdr:cNvPr>
        <xdr:cNvSpPr/>
      </xdr:nvSpPr>
      <xdr:spPr>
        <a:xfrm>
          <a:off x="7549515" y="4781550"/>
          <a:ext cx="2193042" cy="4564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a:t>
          </a:r>
          <a:r>
            <a:rPr lang="fr-FR" sz="1100" baseline="0">
              <a:solidFill>
                <a:schemeClr val="tx1"/>
              </a:solidFill>
            </a:rPr>
            <a:t> l'algorithme générique (GA)</a:t>
          </a:r>
          <a:endParaRPr lang="fr-FR" sz="1100">
            <a:solidFill>
              <a:schemeClr val="tx1"/>
            </a:solidFill>
          </a:endParaRPr>
        </a:p>
      </xdr:txBody>
    </xdr:sp>
    <xdr:clientData/>
  </xdr:twoCellAnchor>
  <xdr:twoCellAnchor>
    <xdr:from>
      <xdr:col>12</xdr:col>
      <xdr:colOff>390525</xdr:colOff>
      <xdr:row>32</xdr:row>
      <xdr:rowOff>47625</xdr:rowOff>
    </xdr:from>
    <xdr:to>
      <xdr:col>15</xdr:col>
      <xdr:colOff>228987</xdr:colOff>
      <xdr:row>34</xdr:row>
      <xdr:rowOff>157386</xdr:rowOff>
    </xdr:to>
    <xdr:sp macro="" textlink="">
      <xdr:nvSpPr>
        <xdr:cNvPr id="179" name="Rectangle 178">
          <a:extLst>
            <a:ext uri="{FF2B5EF4-FFF2-40B4-BE49-F238E27FC236}">
              <a16:creationId xmlns:a16="http://schemas.microsoft.com/office/drawing/2014/main" id="{4B5D2BD7-8F65-46C3-96C3-05E3DB17D332}"/>
            </a:ext>
          </a:extLst>
        </xdr:cNvPr>
        <xdr:cNvSpPr/>
      </xdr:nvSpPr>
      <xdr:spPr>
        <a:xfrm>
          <a:off x="7568565" y="5640705"/>
          <a:ext cx="2193042" cy="44504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a:t>
          </a:r>
          <a:r>
            <a:rPr lang="fr-FR" sz="1100" baseline="0">
              <a:solidFill>
                <a:schemeClr val="tx1"/>
              </a:solidFill>
            </a:rPr>
            <a:t> l'export CSV (version enrichie)</a:t>
          </a:r>
          <a:endParaRPr lang="fr-FR" sz="1100">
            <a:solidFill>
              <a:schemeClr val="tx1"/>
            </a:solidFill>
          </a:endParaRPr>
        </a:p>
      </xdr:txBody>
    </xdr:sp>
    <xdr:clientData/>
  </xdr:twoCellAnchor>
  <xdr:twoCellAnchor>
    <xdr:from>
      <xdr:col>12</xdr:col>
      <xdr:colOff>438150</xdr:colOff>
      <xdr:row>36</xdr:row>
      <xdr:rowOff>133350</xdr:rowOff>
    </xdr:from>
    <xdr:to>
      <xdr:col>15</xdr:col>
      <xdr:colOff>276612</xdr:colOff>
      <xdr:row>39</xdr:row>
      <xdr:rowOff>71661</xdr:rowOff>
    </xdr:to>
    <xdr:sp macro="" textlink="">
      <xdr:nvSpPr>
        <xdr:cNvPr id="180" name="Rectangle 179">
          <a:extLst>
            <a:ext uri="{FF2B5EF4-FFF2-40B4-BE49-F238E27FC236}">
              <a16:creationId xmlns:a16="http://schemas.microsoft.com/office/drawing/2014/main" id="{BC859162-9FC8-4434-B93E-E7E09CF6B6D8}"/>
            </a:ext>
          </a:extLst>
        </xdr:cNvPr>
        <xdr:cNvSpPr/>
      </xdr:nvSpPr>
      <xdr:spPr>
        <a:xfrm>
          <a:off x="7616190" y="6396990"/>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 des tests</a:t>
          </a:r>
          <a:r>
            <a:rPr lang="fr-FR" sz="1100" baseline="0">
              <a:solidFill>
                <a:schemeClr val="tx1"/>
              </a:solidFill>
            </a:rPr>
            <a:t> sur att48 et des comparaison avec optimunm</a:t>
          </a:r>
          <a:endParaRPr lang="fr-FR" sz="1100">
            <a:solidFill>
              <a:schemeClr val="tx1"/>
            </a:solidFill>
          </a:endParaRPr>
        </a:p>
      </xdr:txBody>
    </xdr:sp>
    <xdr:clientData/>
  </xdr:twoCellAnchor>
  <xdr:twoCellAnchor>
    <xdr:from>
      <xdr:col>16</xdr:col>
      <xdr:colOff>438150</xdr:colOff>
      <xdr:row>31</xdr:row>
      <xdr:rowOff>152400</xdr:rowOff>
    </xdr:from>
    <xdr:to>
      <xdr:col>19</xdr:col>
      <xdr:colOff>276612</xdr:colOff>
      <xdr:row>34</xdr:row>
      <xdr:rowOff>90711</xdr:rowOff>
    </xdr:to>
    <xdr:sp macro="" textlink="">
      <xdr:nvSpPr>
        <xdr:cNvPr id="181" name="Rectangle 180">
          <a:extLst>
            <a:ext uri="{FF2B5EF4-FFF2-40B4-BE49-F238E27FC236}">
              <a16:creationId xmlns:a16="http://schemas.microsoft.com/office/drawing/2014/main" id="{3E2161BB-EAE2-49DD-A50C-B82B6AEEE33F}"/>
            </a:ext>
          </a:extLst>
        </xdr:cNvPr>
        <xdr:cNvSpPr/>
      </xdr:nvSpPr>
      <xdr:spPr>
        <a:xfrm>
          <a:off x="10755630" y="5577840"/>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a:t>
          </a:r>
          <a:r>
            <a:rPr lang="fr-FR" sz="1100" baseline="0">
              <a:solidFill>
                <a:schemeClr val="tx1"/>
              </a:solidFill>
            </a:rPr>
            <a:t> des tests</a:t>
          </a:r>
          <a:endParaRPr lang="fr-FR" sz="1100">
            <a:solidFill>
              <a:schemeClr val="tx1"/>
            </a:solidFill>
          </a:endParaRPr>
        </a:p>
      </xdr:txBody>
    </xdr:sp>
    <xdr:clientData/>
  </xdr:twoCellAnchor>
  <xdr:twoCellAnchor>
    <xdr:from>
      <xdr:col>16</xdr:col>
      <xdr:colOff>447675</xdr:colOff>
      <xdr:row>36</xdr:row>
      <xdr:rowOff>104775</xdr:rowOff>
    </xdr:from>
    <xdr:to>
      <xdr:col>19</xdr:col>
      <xdr:colOff>286137</xdr:colOff>
      <xdr:row>39</xdr:row>
      <xdr:rowOff>43086</xdr:rowOff>
    </xdr:to>
    <xdr:sp macro="" textlink="">
      <xdr:nvSpPr>
        <xdr:cNvPr id="182" name="Rectangle 181">
          <a:extLst>
            <a:ext uri="{FF2B5EF4-FFF2-40B4-BE49-F238E27FC236}">
              <a16:creationId xmlns:a16="http://schemas.microsoft.com/office/drawing/2014/main" id="{CAFDAA6E-30EC-4649-817D-2EF189C85AE4}"/>
            </a:ext>
          </a:extLst>
        </xdr:cNvPr>
        <xdr:cNvSpPr/>
      </xdr:nvSpPr>
      <xdr:spPr>
        <a:xfrm>
          <a:off x="10765155" y="6368415"/>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Livrer</a:t>
          </a:r>
          <a:r>
            <a:rPr lang="fr-FR" sz="1100" baseline="0">
              <a:solidFill>
                <a:schemeClr val="tx1"/>
              </a:solidFill>
            </a:rPr>
            <a:t> la recette finale el la documentation</a:t>
          </a:r>
          <a:endParaRPr lang="fr-FR" sz="1100">
            <a:solidFill>
              <a:schemeClr val="tx1"/>
            </a:solidFill>
          </a:endParaRPr>
        </a:p>
      </xdr:txBody>
    </xdr:sp>
    <xdr:clientData/>
  </xdr:twoCellAnchor>
  <xdr:twoCellAnchor>
    <xdr:from>
      <xdr:col>8</xdr:col>
      <xdr:colOff>744545</xdr:colOff>
      <xdr:row>7</xdr:row>
      <xdr:rowOff>130967</xdr:rowOff>
    </xdr:from>
    <xdr:to>
      <xdr:col>8</xdr:col>
      <xdr:colOff>752475</xdr:colOff>
      <xdr:row>11</xdr:row>
      <xdr:rowOff>57150</xdr:rowOff>
    </xdr:to>
    <xdr:cxnSp macro="">
      <xdr:nvCxnSpPr>
        <xdr:cNvPr id="183" name="Straight Arrow Connector 182">
          <a:extLst>
            <a:ext uri="{FF2B5EF4-FFF2-40B4-BE49-F238E27FC236}">
              <a16:creationId xmlns:a16="http://schemas.microsoft.com/office/drawing/2014/main" id="{276EA612-27F8-4D4D-B7EF-7859652D033C}"/>
            </a:ext>
          </a:extLst>
        </xdr:cNvPr>
        <xdr:cNvCxnSpPr>
          <a:endCxn id="158" idx="2"/>
        </xdr:cNvCxnSpPr>
      </xdr:nvCxnSpPr>
      <xdr:spPr bwMode="auto">
        <a:xfrm flipH="1" flipV="1">
          <a:off x="6326195" y="1350167"/>
          <a:ext cx="7930" cy="611983"/>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228600</xdr:colOff>
      <xdr:row>11</xdr:row>
      <xdr:rowOff>38100</xdr:rowOff>
    </xdr:from>
    <xdr:to>
      <xdr:col>16</xdr:col>
      <xdr:colOff>276225</xdr:colOff>
      <xdr:row>11</xdr:row>
      <xdr:rowOff>66675</xdr:rowOff>
    </xdr:to>
    <xdr:cxnSp macro="">
      <xdr:nvCxnSpPr>
        <xdr:cNvPr id="184" name="Straight Connector 183">
          <a:extLst>
            <a:ext uri="{FF2B5EF4-FFF2-40B4-BE49-F238E27FC236}">
              <a16:creationId xmlns:a16="http://schemas.microsoft.com/office/drawing/2014/main" id="{2828881C-84E4-42C5-B146-ADB5F234FAA0}"/>
            </a:ext>
          </a:extLst>
        </xdr:cNvPr>
        <xdr:cNvCxnSpPr/>
      </xdr:nvCxnSpPr>
      <xdr:spPr bwMode="auto">
        <a:xfrm flipV="1">
          <a:off x="1127760" y="1912620"/>
          <a:ext cx="9465945" cy="2857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219075</xdr:colOff>
      <xdr:row>11</xdr:row>
      <xdr:rowOff>57150</xdr:rowOff>
    </xdr:from>
    <xdr:to>
      <xdr:col>4</xdr:col>
      <xdr:colOff>219075</xdr:colOff>
      <xdr:row>12</xdr:row>
      <xdr:rowOff>123825</xdr:rowOff>
    </xdr:to>
    <xdr:cxnSp macro="">
      <xdr:nvCxnSpPr>
        <xdr:cNvPr id="185" name="Straight Connector 184">
          <a:extLst>
            <a:ext uri="{FF2B5EF4-FFF2-40B4-BE49-F238E27FC236}">
              <a16:creationId xmlns:a16="http://schemas.microsoft.com/office/drawing/2014/main" id="{FC1B65CF-50E5-4999-98D7-0E425992C3D5}"/>
            </a:ext>
          </a:extLst>
        </xdr:cNvPr>
        <xdr:cNvCxnSpPr/>
      </xdr:nvCxnSpPr>
      <xdr:spPr bwMode="auto">
        <a:xfrm>
          <a:off x="1118235" y="1931670"/>
          <a:ext cx="0" cy="23431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333375</xdr:colOff>
      <xdr:row>11</xdr:row>
      <xdr:rowOff>66675</xdr:rowOff>
    </xdr:from>
    <xdr:to>
      <xdr:col>8</xdr:col>
      <xdr:colOff>333375</xdr:colOff>
      <xdr:row>12</xdr:row>
      <xdr:rowOff>142875</xdr:rowOff>
    </xdr:to>
    <xdr:cxnSp macro="">
      <xdr:nvCxnSpPr>
        <xdr:cNvPr id="186" name="Straight Connector 185">
          <a:extLst>
            <a:ext uri="{FF2B5EF4-FFF2-40B4-BE49-F238E27FC236}">
              <a16:creationId xmlns:a16="http://schemas.microsoft.com/office/drawing/2014/main" id="{DC9D1255-97A9-41E0-A1C3-57D497755B63}"/>
            </a:ext>
          </a:extLst>
        </xdr:cNvPr>
        <xdr:cNvCxnSpPr/>
      </xdr:nvCxnSpPr>
      <xdr:spPr bwMode="auto">
        <a:xfrm>
          <a:off x="4371975" y="1941195"/>
          <a:ext cx="0" cy="24384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517386</xdr:colOff>
      <xdr:row>11</xdr:row>
      <xdr:rowOff>66675</xdr:rowOff>
    </xdr:from>
    <xdr:to>
      <xdr:col>11</xdr:col>
      <xdr:colOff>523875</xdr:colOff>
      <xdr:row>12</xdr:row>
      <xdr:rowOff>159315</xdr:rowOff>
    </xdr:to>
    <xdr:cxnSp macro="">
      <xdr:nvCxnSpPr>
        <xdr:cNvPr id="187" name="Straight Connector 186">
          <a:extLst>
            <a:ext uri="{FF2B5EF4-FFF2-40B4-BE49-F238E27FC236}">
              <a16:creationId xmlns:a16="http://schemas.microsoft.com/office/drawing/2014/main" id="{97CF4CB1-DA60-453A-B24C-16A6CAFDEBE5}"/>
            </a:ext>
          </a:extLst>
        </xdr:cNvPr>
        <xdr:cNvCxnSpPr>
          <a:endCxn id="160" idx="0"/>
        </xdr:cNvCxnSpPr>
      </xdr:nvCxnSpPr>
      <xdr:spPr bwMode="auto">
        <a:xfrm flipH="1">
          <a:off x="6910566" y="1941195"/>
          <a:ext cx="6489" cy="26028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266753</xdr:colOff>
      <xdr:row>11</xdr:row>
      <xdr:rowOff>57150</xdr:rowOff>
    </xdr:from>
    <xdr:to>
      <xdr:col>16</xdr:col>
      <xdr:colOff>276225</xdr:colOff>
      <xdr:row>12</xdr:row>
      <xdr:rowOff>81591</xdr:rowOff>
    </xdr:to>
    <xdr:cxnSp macro="">
      <xdr:nvCxnSpPr>
        <xdr:cNvPr id="188" name="Straight Connector 187">
          <a:extLst>
            <a:ext uri="{FF2B5EF4-FFF2-40B4-BE49-F238E27FC236}">
              <a16:creationId xmlns:a16="http://schemas.microsoft.com/office/drawing/2014/main" id="{387AB54A-69C1-44C1-9C7B-D0BBE0B24728}"/>
            </a:ext>
          </a:extLst>
        </xdr:cNvPr>
        <xdr:cNvCxnSpPr>
          <a:endCxn id="161" idx="0"/>
        </xdr:cNvCxnSpPr>
      </xdr:nvCxnSpPr>
      <xdr:spPr bwMode="auto">
        <a:xfrm flipH="1">
          <a:off x="10584233" y="1931670"/>
          <a:ext cx="9472" cy="192081"/>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676275</xdr:colOff>
      <xdr:row>16</xdr:row>
      <xdr:rowOff>0</xdr:rowOff>
    </xdr:from>
    <xdr:to>
      <xdr:col>3</xdr:col>
      <xdr:colOff>685800</xdr:colOff>
      <xdr:row>28</xdr:row>
      <xdr:rowOff>114300</xdr:rowOff>
    </xdr:to>
    <xdr:cxnSp macro="">
      <xdr:nvCxnSpPr>
        <xdr:cNvPr id="189" name="Straight Arrow Connector 188">
          <a:extLst>
            <a:ext uri="{FF2B5EF4-FFF2-40B4-BE49-F238E27FC236}">
              <a16:creationId xmlns:a16="http://schemas.microsoft.com/office/drawing/2014/main" id="{2A81518B-614F-4406-A2D0-2FDA16DA5341}"/>
            </a:ext>
          </a:extLst>
        </xdr:cNvPr>
        <xdr:cNvCxnSpPr/>
      </xdr:nvCxnSpPr>
      <xdr:spPr bwMode="auto">
        <a:xfrm flipH="1" flipV="1">
          <a:off x="790575" y="2712720"/>
          <a:ext cx="9525" cy="2125980"/>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47625</xdr:colOff>
      <xdr:row>16</xdr:row>
      <xdr:rowOff>85725</xdr:rowOff>
    </xdr:from>
    <xdr:to>
      <xdr:col>8</xdr:col>
      <xdr:colOff>66675</xdr:colOff>
      <xdr:row>47</xdr:row>
      <xdr:rowOff>76200</xdr:rowOff>
    </xdr:to>
    <xdr:cxnSp macro="">
      <xdr:nvCxnSpPr>
        <xdr:cNvPr id="190" name="Straight Arrow Connector 189">
          <a:extLst>
            <a:ext uri="{FF2B5EF4-FFF2-40B4-BE49-F238E27FC236}">
              <a16:creationId xmlns:a16="http://schemas.microsoft.com/office/drawing/2014/main" id="{BE7E874A-DA0E-4748-8B60-0753F0F24766}"/>
            </a:ext>
          </a:extLst>
        </xdr:cNvPr>
        <xdr:cNvCxnSpPr/>
      </xdr:nvCxnSpPr>
      <xdr:spPr bwMode="auto">
        <a:xfrm flipH="1" flipV="1">
          <a:off x="4086225" y="2798445"/>
          <a:ext cx="19050" cy="5492115"/>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609600</xdr:colOff>
      <xdr:row>15</xdr:row>
      <xdr:rowOff>85725</xdr:rowOff>
    </xdr:from>
    <xdr:to>
      <xdr:col>11</xdr:col>
      <xdr:colOff>676275</xdr:colOff>
      <xdr:row>38</xdr:row>
      <xdr:rowOff>114300</xdr:rowOff>
    </xdr:to>
    <xdr:cxnSp macro="">
      <xdr:nvCxnSpPr>
        <xdr:cNvPr id="191" name="Straight Arrow Connector 190">
          <a:extLst>
            <a:ext uri="{FF2B5EF4-FFF2-40B4-BE49-F238E27FC236}">
              <a16:creationId xmlns:a16="http://schemas.microsoft.com/office/drawing/2014/main" id="{D8979713-93D8-447D-BDC9-E79DAB7878E3}"/>
            </a:ext>
          </a:extLst>
        </xdr:cNvPr>
        <xdr:cNvCxnSpPr/>
      </xdr:nvCxnSpPr>
      <xdr:spPr bwMode="auto">
        <a:xfrm flipH="1" flipV="1">
          <a:off x="7002780" y="2630805"/>
          <a:ext cx="66675" cy="4082415"/>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714375</xdr:colOff>
      <xdr:row>15</xdr:row>
      <xdr:rowOff>47625</xdr:rowOff>
    </xdr:from>
    <xdr:to>
      <xdr:col>15</xdr:col>
      <xdr:colOff>733425</xdr:colOff>
      <xdr:row>38</xdr:row>
      <xdr:rowOff>76200</xdr:rowOff>
    </xdr:to>
    <xdr:cxnSp macro="">
      <xdr:nvCxnSpPr>
        <xdr:cNvPr id="192" name="Straight Arrow Connector 191">
          <a:extLst>
            <a:ext uri="{FF2B5EF4-FFF2-40B4-BE49-F238E27FC236}">
              <a16:creationId xmlns:a16="http://schemas.microsoft.com/office/drawing/2014/main" id="{DFDB7C0A-4F52-40C2-904D-0313156BCE40}"/>
            </a:ext>
          </a:extLst>
        </xdr:cNvPr>
        <xdr:cNvCxnSpPr/>
      </xdr:nvCxnSpPr>
      <xdr:spPr bwMode="auto">
        <a:xfrm flipH="1" flipV="1">
          <a:off x="10246995" y="2592705"/>
          <a:ext cx="19050" cy="4082415"/>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695325</xdr:colOff>
      <xdr:row>28</xdr:row>
      <xdr:rowOff>114300</xdr:rowOff>
    </xdr:from>
    <xdr:to>
      <xdr:col>4</xdr:col>
      <xdr:colOff>609600</xdr:colOff>
      <xdr:row>28</xdr:row>
      <xdr:rowOff>121556</xdr:rowOff>
    </xdr:to>
    <xdr:cxnSp macro="">
      <xdr:nvCxnSpPr>
        <xdr:cNvPr id="193" name="Straight Connector 192">
          <a:extLst>
            <a:ext uri="{FF2B5EF4-FFF2-40B4-BE49-F238E27FC236}">
              <a16:creationId xmlns:a16="http://schemas.microsoft.com/office/drawing/2014/main" id="{B6064487-ECA9-40CD-933A-E0214B209A1C}"/>
            </a:ext>
          </a:extLst>
        </xdr:cNvPr>
        <xdr:cNvCxnSpPr>
          <a:stCxn id="172" idx="1"/>
        </xdr:cNvCxnSpPr>
      </xdr:nvCxnSpPr>
      <xdr:spPr bwMode="auto">
        <a:xfrm flipH="1" flipV="1">
          <a:off x="809625" y="4838700"/>
          <a:ext cx="699135"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666750</xdr:colOff>
      <xdr:row>24</xdr:row>
      <xdr:rowOff>54881</xdr:rowOff>
    </xdr:from>
    <xdr:to>
      <xdr:col>4</xdr:col>
      <xdr:colOff>609600</xdr:colOff>
      <xdr:row>24</xdr:row>
      <xdr:rowOff>57150</xdr:rowOff>
    </xdr:to>
    <xdr:cxnSp macro="">
      <xdr:nvCxnSpPr>
        <xdr:cNvPr id="194" name="Straight Connector 193">
          <a:extLst>
            <a:ext uri="{FF2B5EF4-FFF2-40B4-BE49-F238E27FC236}">
              <a16:creationId xmlns:a16="http://schemas.microsoft.com/office/drawing/2014/main" id="{C5A5D190-CD9A-4641-8086-32514FFCEDA4}"/>
            </a:ext>
          </a:extLst>
        </xdr:cNvPr>
        <xdr:cNvCxnSpPr>
          <a:stCxn id="171" idx="1"/>
        </xdr:cNvCxnSpPr>
      </xdr:nvCxnSpPr>
      <xdr:spPr bwMode="auto">
        <a:xfrm flipH="1">
          <a:off x="781050" y="4108721"/>
          <a:ext cx="727710" cy="2269"/>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657225</xdr:colOff>
      <xdr:row>19</xdr:row>
      <xdr:rowOff>126094</xdr:rowOff>
    </xdr:from>
    <xdr:to>
      <xdr:col>4</xdr:col>
      <xdr:colOff>618738</xdr:colOff>
      <xdr:row>19</xdr:row>
      <xdr:rowOff>133350</xdr:rowOff>
    </xdr:to>
    <xdr:cxnSp macro="">
      <xdr:nvCxnSpPr>
        <xdr:cNvPr id="195" name="Straight Connector 194">
          <a:extLst>
            <a:ext uri="{FF2B5EF4-FFF2-40B4-BE49-F238E27FC236}">
              <a16:creationId xmlns:a16="http://schemas.microsoft.com/office/drawing/2014/main" id="{143715B4-D20F-4C85-8474-7A284B59C2D0}"/>
            </a:ext>
          </a:extLst>
        </xdr:cNvPr>
        <xdr:cNvCxnSpPr>
          <a:stCxn id="164" idx="1"/>
        </xdr:cNvCxnSpPr>
      </xdr:nvCxnSpPr>
      <xdr:spPr bwMode="auto">
        <a:xfrm flipH="1">
          <a:off x="771525" y="3341734"/>
          <a:ext cx="746373"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0</xdr:colOff>
      <xdr:row>19</xdr:row>
      <xdr:rowOff>0</xdr:rowOff>
    </xdr:from>
    <xdr:to>
      <xdr:col>8</xdr:col>
      <xdr:colOff>504825</xdr:colOff>
      <xdr:row>19</xdr:row>
      <xdr:rowOff>0</xdr:rowOff>
    </xdr:to>
    <xdr:cxnSp macro="">
      <xdr:nvCxnSpPr>
        <xdr:cNvPr id="196" name="Straight Connector 195">
          <a:extLst>
            <a:ext uri="{FF2B5EF4-FFF2-40B4-BE49-F238E27FC236}">
              <a16:creationId xmlns:a16="http://schemas.microsoft.com/office/drawing/2014/main" id="{CAD117A9-957E-4E8C-B76E-40A0F4EF9FA1}"/>
            </a:ext>
          </a:extLst>
        </xdr:cNvPr>
        <xdr:cNvCxnSpPr/>
      </xdr:nvCxnSpPr>
      <xdr:spPr bwMode="auto">
        <a:xfrm flipH="1">
          <a:off x="4038600" y="3215640"/>
          <a:ext cx="50482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57150</xdr:colOff>
      <xdr:row>25</xdr:row>
      <xdr:rowOff>19050</xdr:rowOff>
    </xdr:from>
    <xdr:to>
      <xdr:col>8</xdr:col>
      <xdr:colOff>561975</xdr:colOff>
      <xdr:row>25</xdr:row>
      <xdr:rowOff>19050</xdr:rowOff>
    </xdr:to>
    <xdr:cxnSp macro="">
      <xdr:nvCxnSpPr>
        <xdr:cNvPr id="197" name="Straight Connector 196">
          <a:extLst>
            <a:ext uri="{FF2B5EF4-FFF2-40B4-BE49-F238E27FC236}">
              <a16:creationId xmlns:a16="http://schemas.microsoft.com/office/drawing/2014/main" id="{B654507B-D8FF-4CC1-AFF3-0D371761FC65}"/>
            </a:ext>
          </a:extLst>
        </xdr:cNvPr>
        <xdr:cNvCxnSpPr/>
      </xdr:nvCxnSpPr>
      <xdr:spPr bwMode="auto">
        <a:xfrm flipH="1">
          <a:off x="4095750" y="4240530"/>
          <a:ext cx="50482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66675</xdr:colOff>
      <xdr:row>28</xdr:row>
      <xdr:rowOff>228600</xdr:rowOff>
    </xdr:from>
    <xdr:to>
      <xdr:col>8</xdr:col>
      <xdr:colOff>523875</xdr:colOff>
      <xdr:row>28</xdr:row>
      <xdr:rowOff>235856</xdr:rowOff>
    </xdr:to>
    <xdr:cxnSp macro="">
      <xdr:nvCxnSpPr>
        <xdr:cNvPr id="198" name="Straight Connector 197">
          <a:extLst>
            <a:ext uri="{FF2B5EF4-FFF2-40B4-BE49-F238E27FC236}">
              <a16:creationId xmlns:a16="http://schemas.microsoft.com/office/drawing/2014/main" id="{C1D0A626-BB84-4D42-87FC-FE8DE043C97C}"/>
            </a:ext>
          </a:extLst>
        </xdr:cNvPr>
        <xdr:cNvCxnSpPr>
          <a:stCxn id="173" idx="1"/>
        </xdr:cNvCxnSpPr>
      </xdr:nvCxnSpPr>
      <xdr:spPr bwMode="auto">
        <a:xfrm flipH="1" flipV="1">
          <a:off x="4105275" y="4953000"/>
          <a:ext cx="457200"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66675</xdr:colOff>
      <xdr:row>33</xdr:row>
      <xdr:rowOff>38100</xdr:rowOff>
    </xdr:from>
    <xdr:to>
      <xdr:col>8</xdr:col>
      <xdr:colOff>523875</xdr:colOff>
      <xdr:row>33</xdr:row>
      <xdr:rowOff>45356</xdr:rowOff>
    </xdr:to>
    <xdr:cxnSp macro="">
      <xdr:nvCxnSpPr>
        <xdr:cNvPr id="199" name="Straight Connector 198">
          <a:extLst>
            <a:ext uri="{FF2B5EF4-FFF2-40B4-BE49-F238E27FC236}">
              <a16:creationId xmlns:a16="http://schemas.microsoft.com/office/drawing/2014/main" id="{A6A5701C-E6BE-42E6-96DD-88D3FDAB23E5}"/>
            </a:ext>
          </a:extLst>
        </xdr:cNvPr>
        <xdr:cNvCxnSpPr/>
      </xdr:nvCxnSpPr>
      <xdr:spPr bwMode="auto">
        <a:xfrm flipH="1" flipV="1">
          <a:off x="4105275" y="5798820"/>
          <a:ext cx="457200"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76200</xdr:colOff>
      <xdr:row>38</xdr:row>
      <xdr:rowOff>28575</xdr:rowOff>
    </xdr:from>
    <xdr:to>
      <xdr:col>8</xdr:col>
      <xdr:colOff>561975</xdr:colOff>
      <xdr:row>38</xdr:row>
      <xdr:rowOff>35831</xdr:rowOff>
    </xdr:to>
    <xdr:cxnSp macro="">
      <xdr:nvCxnSpPr>
        <xdr:cNvPr id="200" name="Straight Connector 199">
          <a:extLst>
            <a:ext uri="{FF2B5EF4-FFF2-40B4-BE49-F238E27FC236}">
              <a16:creationId xmlns:a16="http://schemas.microsoft.com/office/drawing/2014/main" id="{FAF991DA-4696-4C31-970C-9ADF586A4E18}"/>
            </a:ext>
          </a:extLst>
        </xdr:cNvPr>
        <xdr:cNvCxnSpPr>
          <a:stCxn id="175" idx="1"/>
        </xdr:cNvCxnSpPr>
      </xdr:nvCxnSpPr>
      <xdr:spPr bwMode="auto">
        <a:xfrm flipH="1" flipV="1">
          <a:off x="4114800" y="6627495"/>
          <a:ext cx="485775"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76200</xdr:colOff>
      <xdr:row>42</xdr:row>
      <xdr:rowOff>159656</xdr:rowOff>
    </xdr:from>
    <xdr:to>
      <xdr:col>8</xdr:col>
      <xdr:colOff>552450</xdr:colOff>
      <xdr:row>42</xdr:row>
      <xdr:rowOff>161925</xdr:rowOff>
    </xdr:to>
    <xdr:cxnSp macro="">
      <xdr:nvCxnSpPr>
        <xdr:cNvPr id="201" name="Straight Connector 200">
          <a:extLst>
            <a:ext uri="{FF2B5EF4-FFF2-40B4-BE49-F238E27FC236}">
              <a16:creationId xmlns:a16="http://schemas.microsoft.com/office/drawing/2014/main" id="{67D956AD-E78E-4C3C-AE53-77E4F6E87708}"/>
            </a:ext>
          </a:extLst>
        </xdr:cNvPr>
        <xdr:cNvCxnSpPr>
          <a:stCxn id="176" idx="1"/>
        </xdr:cNvCxnSpPr>
      </xdr:nvCxnSpPr>
      <xdr:spPr bwMode="auto">
        <a:xfrm flipH="1">
          <a:off x="4114800" y="7429136"/>
          <a:ext cx="476250" cy="2269"/>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85725</xdr:colOff>
      <xdr:row>46</xdr:row>
      <xdr:rowOff>207281</xdr:rowOff>
    </xdr:from>
    <xdr:to>
      <xdr:col>8</xdr:col>
      <xdr:colOff>552450</xdr:colOff>
      <xdr:row>46</xdr:row>
      <xdr:rowOff>209550</xdr:rowOff>
    </xdr:to>
    <xdr:cxnSp macro="">
      <xdr:nvCxnSpPr>
        <xdr:cNvPr id="202" name="Straight Connector 201">
          <a:extLst>
            <a:ext uri="{FF2B5EF4-FFF2-40B4-BE49-F238E27FC236}">
              <a16:creationId xmlns:a16="http://schemas.microsoft.com/office/drawing/2014/main" id="{037F15D4-5DCD-422B-9FF2-6AD47058E051}"/>
            </a:ext>
          </a:extLst>
        </xdr:cNvPr>
        <xdr:cNvCxnSpPr>
          <a:stCxn id="177" idx="1"/>
        </xdr:cNvCxnSpPr>
      </xdr:nvCxnSpPr>
      <xdr:spPr bwMode="auto">
        <a:xfrm flipH="1">
          <a:off x="4124325" y="8200661"/>
          <a:ext cx="466725" cy="2269"/>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619125</xdr:colOff>
      <xdr:row>18</xdr:row>
      <xdr:rowOff>142875</xdr:rowOff>
    </xdr:from>
    <xdr:to>
      <xdr:col>12</xdr:col>
      <xdr:colOff>384774</xdr:colOff>
      <xdr:row>18</xdr:row>
      <xdr:rowOff>148766</xdr:rowOff>
    </xdr:to>
    <xdr:cxnSp macro="">
      <xdr:nvCxnSpPr>
        <xdr:cNvPr id="203" name="Straight Connector 202">
          <a:extLst>
            <a:ext uri="{FF2B5EF4-FFF2-40B4-BE49-F238E27FC236}">
              <a16:creationId xmlns:a16="http://schemas.microsoft.com/office/drawing/2014/main" id="{9DA077BA-BCFA-452D-B9E9-7B4D916A376F}"/>
            </a:ext>
          </a:extLst>
        </xdr:cNvPr>
        <xdr:cNvCxnSpPr>
          <a:stCxn id="165" idx="1"/>
        </xdr:cNvCxnSpPr>
      </xdr:nvCxnSpPr>
      <xdr:spPr bwMode="auto">
        <a:xfrm flipH="1" flipV="1">
          <a:off x="7012305" y="3190875"/>
          <a:ext cx="550509" cy="5891"/>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647700</xdr:colOff>
      <xdr:row>24</xdr:row>
      <xdr:rowOff>47625</xdr:rowOff>
    </xdr:from>
    <xdr:to>
      <xdr:col>12</xdr:col>
      <xdr:colOff>413349</xdr:colOff>
      <xdr:row>24</xdr:row>
      <xdr:rowOff>48369</xdr:rowOff>
    </xdr:to>
    <xdr:cxnSp macro="">
      <xdr:nvCxnSpPr>
        <xdr:cNvPr id="204" name="Straight Connector 203">
          <a:extLst>
            <a:ext uri="{FF2B5EF4-FFF2-40B4-BE49-F238E27FC236}">
              <a16:creationId xmlns:a16="http://schemas.microsoft.com/office/drawing/2014/main" id="{BD68A51A-B723-44EF-B7A0-09272B44FE3A}"/>
            </a:ext>
          </a:extLst>
        </xdr:cNvPr>
        <xdr:cNvCxnSpPr>
          <a:stCxn id="166" idx="1"/>
        </xdr:cNvCxnSpPr>
      </xdr:nvCxnSpPr>
      <xdr:spPr bwMode="auto">
        <a:xfrm flipH="1" flipV="1">
          <a:off x="7040880" y="4101465"/>
          <a:ext cx="550509" cy="744"/>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628650</xdr:colOff>
      <xdr:row>28</xdr:row>
      <xdr:rowOff>247650</xdr:rowOff>
    </xdr:from>
    <xdr:to>
      <xdr:col>12</xdr:col>
      <xdr:colOff>352425</xdr:colOff>
      <xdr:row>28</xdr:row>
      <xdr:rowOff>247650</xdr:rowOff>
    </xdr:to>
    <xdr:cxnSp macro="">
      <xdr:nvCxnSpPr>
        <xdr:cNvPr id="205" name="Straight Connector 204">
          <a:extLst>
            <a:ext uri="{FF2B5EF4-FFF2-40B4-BE49-F238E27FC236}">
              <a16:creationId xmlns:a16="http://schemas.microsoft.com/office/drawing/2014/main" id="{0996A868-BF7D-4943-B2AD-4F224E04DFA9}"/>
            </a:ext>
          </a:extLst>
        </xdr:cNvPr>
        <xdr:cNvCxnSpPr/>
      </xdr:nvCxnSpPr>
      <xdr:spPr bwMode="auto">
        <a:xfrm flipH="1">
          <a:off x="7021830" y="4972050"/>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657225</xdr:colOff>
      <xdr:row>33</xdr:row>
      <xdr:rowOff>123825</xdr:rowOff>
    </xdr:from>
    <xdr:to>
      <xdr:col>12</xdr:col>
      <xdr:colOff>381000</xdr:colOff>
      <xdr:row>33</xdr:row>
      <xdr:rowOff>123825</xdr:rowOff>
    </xdr:to>
    <xdr:cxnSp macro="">
      <xdr:nvCxnSpPr>
        <xdr:cNvPr id="206" name="Straight Connector 205">
          <a:extLst>
            <a:ext uri="{FF2B5EF4-FFF2-40B4-BE49-F238E27FC236}">
              <a16:creationId xmlns:a16="http://schemas.microsoft.com/office/drawing/2014/main" id="{2985736F-4D69-4E6F-B2BE-7771B59D8AF0}"/>
            </a:ext>
          </a:extLst>
        </xdr:cNvPr>
        <xdr:cNvCxnSpPr/>
      </xdr:nvCxnSpPr>
      <xdr:spPr bwMode="auto">
        <a:xfrm flipH="1">
          <a:off x="7050405" y="5884545"/>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704850</xdr:colOff>
      <xdr:row>38</xdr:row>
      <xdr:rowOff>104775</xdr:rowOff>
    </xdr:from>
    <xdr:to>
      <xdr:col>12</xdr:col>
      <xdr:colOff>428625</xdr:colOff>
      <xdr:row>38</xdr:row>
      <xdr:rowOff>104775</xdr:rowOff>
    </xdr:to>
    <xdr:cxnSp macro="">
      <xdr:nvCxnSpPr>
        <xdr:cNvPr id="207" name="Straight Connector 206">
          <a:extLst>
            <a:ext uri="{FF2B5EF4-FFF2-40B4-BE49-F238E27FC236}">
              <a16:creationId xmlns:a16="http://schemas.microsoft.com/office/drawing/2014/main" id="{139889CD-88DD-4681-A0BF-7739A4BD41BD}"/>
            </a:ext>
          </a:extLst>
        </xdr:cNvPr>
        <xdr:cNvCxnSpPr/>
      </xdr:nvCxnSpPr>
      <xdr:spPr bwMode="auto">
        <a:xfrm flipH="1">
          <a:off x="7098030" y="6703695"/>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685800</xdr:colOff>
      <xdr:row>18</xdr:row>
      <xdr:rowOff>133350</xdr:rowOff>
    </xdr:from>
    <xdr:to>
      <xdr:col>16</xdr:col>
      <xdr:colOff>409575</xdr:colOff>
      <xdr:row>18</xdr:row>
      <xdr:rowOff>133350</xdr:rowOff>
    </xdr:to>
    <xdr:cxnSp macro="">
      <xdr:nvCxnSpPr>
        <xdr:cNvPr id="208" name="Straight Connector 207">
          <a:extLst>
            <a:ext uri="{FF2B5EF4-FFF2-40B4-BE49-F238E27FC236}">
              <a16:creationId xmlns:a16="http://schemas.microsoft.com/office/drawing/2014/main" id="{C655C3D2-AE0F-46B7-B860-C45C675C9F5C}"/>
            </a:ext>
          </a:extLst>
        </xdr:cNvPr>
        <xdr:cNvCxnSpPr/>
      </xdr:nvCxnSpPr>
      <xdr:spPr bwMode="auto">
        <a:xfrm flipH="1">
          <a:off x="10218420" y="3181350"/>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733425</xdr:colOff>
      <xdr:row>24</xdr:row>
      <xdr:rowOff>28575</xdr:rowOff>
    </xdr:from>
    <xdr:to>
      <xdr:col>16</xdr:col>
      <xdr:colOff>457200</xdr:colOff>
      <xdr:row>24</xdr:row>
      <xdr:rowOff>28575</xdr:rowOff>
    </xdr:to>
    <xdr:cxnSp macro="">
      <xdr:nvCxnSpPr>
        <xdr:cNvPr id="209" name="Straight Connector 208">
          <a:extLst>
            <a:ext uri="{FF2B5EF4-FFF2-40B4-BE49-F238E27FC236}">
              <a16:creationId xmlns:a16="http://schemas.microsoft.com/office/drawing/2014/main" id="{94713B09-A9E4-420E-A291-514B5F4ED1AB}"/>
            </a:ext>
          </a:extLst>
        </xdr:cNvPr>
        <xdr:cNvCxnSpPr/>
      </xdr:nvCxnSpPr>
      <xdr:spPr bwMode="auto">
        <a:xfrm flipH="1">
          <a:off x="10266045" y="4082415"/>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733425</xdr:colOff>
      <xdr:row>28</xdr:row>
      <xdr:rowOff>228600</xdr:rowOff>
    </xdr:from>
    <xdr:to>
      <xdr:col>16</xdr:col>
      <xdr:colOff>457200</xdr:colOff>
      <xdr:row>28</xdr:row>
      <xdr:rowOff>228600</xdr:rowOff>
    </xdr:to>
    <xdr:cxnSp macro="">
      <xdr:nvCxnSpPr>
        <xdr:cNvPr id="210" name="Straight Connector 209">
          <a:extLst>
            <a:ext uri="{FF2B5EF4-FFF2-40B4-BE49-F238E27FC236}">
              <a16:creationId xmlns:a16="http://schemas.microsoft.com/office/drawing/2014/main" id="{9559AE5C-7A31-43E0-8BA8-9A9A06D3110A}"/>
            </a:ext>
          </a:extLst>
        </xdr:cNvPr>
        <xdr:cNvCxnSpPr/>
      </xdr:nvCxnSpPr>
      <xdr:spPr bwMode="auto">
        <a:xfrm flipH="1">
          <a:off x="10266045" y="4953000"/>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723900</xdr:colOff>
      <xdr:row>33</xdr:row>
      <xdr:rowOff>104775</xdr:rowOff>
    </xdr:from>
    <xdr:to>
      <xdr:col>16</xdr:col>
      <xdr:colOff>447675</xdr:colOff>
      <xdr:row>33</xdr:row>
      <xdr:rowOff>104775</xdr:rowOff>
    </xdr:to>
    <xdr:cxnSp macro="">
      <xdr:nvCxnSpPr>
        <xdr:cNvPr id="211" name="Straight Connector 210">
          <a:extLst>
            <a:ext uri="{FF2B5EF4-FFF2-40B4-BE49-F238E27FC236}">
              <a16:creationId xmlns:a16="http://schemas.microsoft.com/office/drawing/2014/main" id="{C3308499-8B82-43CF-8AFF-6F877C6A4707}"/>
            </a:ext>
          </a:extLst>
        </xdr:cNvPr>
        <xdr:cNvCxnSpPr/>
      </xdr:nvCxnSpPr>
      <xdr:spPr bwMode="auto">
        <a:xfrm flipH="1">
          <a:off x="10256520" y="5865495"/>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733425</xdr:colOff>
      <xdr:row>38</xdr:row>
      <xdr:rowOff>76200</xdr:rowOff>
    </xdr:from>
    <xdr:to>
      <xdr:col>16</xdr:col>
      <xdr:colOff>457200</xdr:colOff>
      <xdr:row>38</xdr:row>
      <xdr:rowOff>76200</xdr:rowOff>
    </xdr:to>
    <xdr:cxnSp macro="">
      <xdr:nvCxnSpPr>
        <xdr:cNvPr id="212" name="Straight Connector 211">
          <a:extLst>
            <a:ext uri="{FF2B5EF4-FFF2-40B4-BE49-F238E27FC236}">
              <a16:creationId xmlns:a16="http://schemas.microsoft.com/office/drawing/2014/main" id="{47C927BA-62B3-45FD-ADEF-296D96FB6970}"/>
            </a:ext>
          </a:extLst>
        </xdr:cNvPr>
        <xdr:cNvCxnSpPr/>
      </xdr:nvCxnSpPr>
      <xdr:spPr bwMode="auto">
        <a:xfrm flipH="1">
          <a:off x="10266045" y="6675120"/>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437031</xdr:colOff>
      <xdr:row>0</xdr:row>
      <xdr:rowOff>56029</xdr:rowOff>
    </xdr:from>
    <xdr:to>
      <xdr:col>8</xdr:col>
      <xdr:colOff>662940</xdr:colOff>
      <xdr:row>2</xdr:row>
      <xdr:rowOff>48405</xdr:rowOff>
    </xdr:to>
    <xdr:sp macro="" textlink="">
      <xdr:nvSpPr>
        <xdr:cNvPr id="2" name="Text Box 2">
          <a:extLst>
            <a:ext uri="{FF2B5EF4-FFF2-40B4-BE49-F238E27FC236}">
              <a16:creationId xmlns:a16="http://schemas.microsoft.com/office/drawing/2014/main" id="{00000000-0008-0000-0600-000002000000}"/>
            </a:ext>
          </a:extLst>
        </xdr:cNvPr>
        <xdr:cNvSpPr txBox="1">
          <a:spLocks noChangeArrowheads="1"/>
        </xdr:cNvSpPr>
      </xdr:nvSpPr>
      <xdr:spPr bwMode="auto">
        <a:xfrm>
          <a:off x="551331" y="56029"/>
          <a:ext cx="7929729" cy="3733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Planning Initial</a:t>
          </a:r>
        </a:p>
      </xdr:txBody>
    </xdr:sp>
    <xdr:clientData/>
  </xdr:twoCellAnchor>
  <xdr:twoCellAnchor>
    <xdr:from>
      <xdr:col>1</xdr:col>
      <xdr:colOff>9645</xdr:colOff>
      <xdr:row>33</xdr:row>
      <xdr:rowOff>106101</xdr:rowOff>
    </xdr:from>
    <xdr:to>
      <xdr:col>6</xdr:col>
      <xdr:colOff>144683</xdr:colOff>
      <xdr:row>41</xdr:row>
      <xdr:rowOff>36620</xdr:rowOff>
    </xdr:to>
    <xdr:sp macro="" textlink="">
      <xdr:nvSpPr>
        <xdr:cNvPr id="3" name="Textfeld 49">
          <a:extLst>
            <a:ext uri="{FF2B5EF4-FFF2-40B4-BE49-F238E27FC236}">
              <a16:creationId xmlns:a16="http://schemas.microsoft.com/office/drawing/2014/main" id="{D5D31E71-A436-42A1-816D-22E9A3BF1C0B}"/>
            </a:ext>
          </a:extLst>
        </xdr:cNvPr>
        <xdr:cNvSpPr txBox="1"/>
      </xdr:nvSpPr>
      <xdr:spPr>
        <a:xfrm>
          <a:off x="125392" y="10822329"/>
          <a:ext cx="6549342" cy="1242316"/>
        </a:xfrm>
        <a:prstGeom prst="rect">
          <a:avLst/>
        </a:prstGeom>
        <a:ln/>
      </xdr:spPr>
      <xdr:style>
        <a:lnRef idx="1">
          <a:schemeClr val="accent4"/>
        </a:lnRef>
        <a:fillRef idx="2">
          <a:schemeClr val="accent4"/>
        </a:fillRef>
        <a:effectRef idx="1">
          <a:schemeClr val="accent4"/>
        </a:effectRef>
        <a:fontRef idx="minor">
          <a:schemeClr val="dk1"/>
        </a:fontRef>
      </xdr:style>
      <xdr:txBody>
        <a:bodyPr rot="0" spcFirstLastPara="0" vert="horz" wrap="square" lIns="91440" tIns="45720" rIns="91440" bIns="45720" numCol="1" spcCol="0" rtlCol="0" fromWordArt="0" anchor="t" anchorCtr="0" forceAA="0" compatLnSpc="1">
          <a:prstTxWarp prst="textNoShape">
            <a:avLst/>
          </a:prstTxWarp>
          <a:noAutofit/>
        </a:bodyPr>
        <a:lstStyle/>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Legende: </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hh: Un humain heure		                                            DT : Développeur Dunant</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hj: Un humain jour			                </a:t>
          </a:r>
          <a:r>
            <a:rPr lang="fr-FR" sz="1200" i="1" kern="100" baseline="0">
              <a:effectLst/>
              <a:ea typeface="Aptos" panose="020B0004020202020204" pitchFamily="34" charset="0"/>
              <a:cs typeface="Times New Roman" panose="02020603050405020304" pitchFamily="18" charset="0"/>
            </a:rPr>
            <a:t> </a:t>
          </a:r>
          <a:r>
            <a:rPr lang="fr-FR" sz="1200" i="1" kern="100">
              <a:effectLst/>
              <a:ea typeface="Aptos" panose="020B0004020202020204" pitchFamily="34" charset="0"/>
              <a:cs typeface="Times New Roman" panose="02020603050405020304" pitchFamily="18" charset="0"/>
            </a:rPr>
            <a:t>DR : Développeur Russel</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1 jour: 5 heures de temps réelles.	                                         DW : Développeur Wassim</a:t>
          </a:r>
          <a:endParaRPr lang="de-DE" sz="1200" kern="100">
            <a:effectLst/>
            <a:ea typeface="Aptos" panose="020B0004020202020204" pitchFamily="34" charset="0"/>
            <a:cs typeface="Times New Roman" panose="02020603050405020304" pitchFamily="18"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1899733</xdr:colOff>
      <xdr:row>0</xdr:row>
      <xdr:rowOff>130549</xdr:rowOff>
    </xdr:from>
    <xdr:to>
      <xdr:col>1</xdr:col>
      <xdr:colOff>3885133</xdr:colOff>
      <xdr:row>2</xdr:row>
      <xdr:rowOff>126657</xdr:rowOff>
    </xdr:to>
    <xdr:sp macro="" textlink="">
      <xdr:nvSpPr>
        <xdr:cNvPr id="3" name="Text Box 2">
          <a:extLst>
            <a:ext uri="{FF2B5EF4-FFF2-40B4-BE49-F238E27FC236}">
              <a16:creationId xmlns:a16="http://schemas.microsoft.com/office/drawing/2014/main" id="{00000000-0008-0000-0800-000003000000}"/>
            </a:ext>
          </a:extLst>
        </xdr:cNvPr>
        <xdr:cNvSpPr txBox="1">
          <a:spLocks noChangeArrowheads="1"/>
        </xdr:cNvSpPr>
      </xdr:nvSpPr>
      <xdr:spPr bwMode="auto">
        <a:xfrm>
          <a:off x="1899733" y="130549"/>
          <a:ext cx="8062350" cy="37710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Historique des principaux évènements</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10</xdr:col>
      <xdr:colOff>0</xdr:colOff>
      <xdr:row>6</xdr:row>
      <xdr:rowOff>0</xdr:rowOff>
    </xdr:from>
    <xdr:to>
      <xdr:col>10</xdr:col>
      <xdr:colOff>0</xdr:colOff>
      <xdr:row>6</xdr:row>
      <xdr:rowOff>0</xdr:rowOff>
    </xdr:to>
    <xdr:sp macro="" textlink="">
      <xdr:nvSpPr>
        <xdr:cNvPr id="39496601" name="AutoShape 1">
          <a:extLst>
            <a:ext uri="{FF2B5EF4-FFF2-40B4-BE49-F238E27FC236}">
              <a16:creationId xmlns:a16="http://schemas.microsoft.com/office/drawing/2014/main" id="{00000000-0008-0000-0A00-000099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2" name="AutoShape 2">
          <a:extLst>
            <a:ext uri="{FF2B5EF4-FFF2-40B4-BE49-F238E27FC236}">
              <a16:creationId xmlns:a16="http://schemas.microsoft.com/office/drawing/2014/main" id="{00000000-0008-0000-0A00-00009A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3" name="AutoShape 3">
          <a:extLst>
            <a:ext uri="{FF2B5EF4-FFF2-40B4-BE49-F238E27FC236}">
              <a16:creationId xmlns:a16="http://schemas.microsoft.com/office/drawing/2014/main" id="{00000000-0008-0000-0A00-00009B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4" name="AutoShape 4">
          <a:extLst>
            <a:ext uri="{FF2B5EF4-FFF2-40B4-BE49-F238E27FC236}">
              <a16:creationId xmlns:a16="http://schemas.microsoft.com/office/drawing/2014/main" id="{00000000-0008-0000-0A00-00009C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5" name="AutoShape 5">
          <a:extLst>
            <a:ext uri="{FF2B5EF4-FFF2-40B4-BE49-F238E27FC236}">
              <a16:creationId xmlns:a16="http://schemas.microsoft.com/office/drawing/2014/main" id="{00000000-0008-0000-0A00-00009D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6" name="AutoShape 6">
          <a:extLst>
            <a:ext uri="{FF2B5EF4-FFF2-40B4-BE49-F238E27FC236}">
              <a16:creationId xmlns:a16="http://schemas.microsoft.com/office/drawing/2014/main" id="{00000000-0008-0000-0A00-00009E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7" name="AutoShape 10">
          <a:extLst>
            <a:ext uri="{FF2B5EF4-FFF2-40B4-BE49-F238E27FC236}">
              <a16:creationId xmlns:a16="http://schemas.microsoft.com/office/drawing/2014/main" id="{00000000-0008-0000-0A00-00009F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8" name="AutoShape 11">
          <a:extLst>
            <a:ext uri="{FF2B5EF4-FFF2-40B4-BE49-F238E27FC236}">
              <a16:creationId xmlns:a16="http://schemas.microsoft.com/office/drawing/2014/main" id="{00000000-0008-0000-0A00-0000A0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9" name="AutoShape 12">
          <a:extLst>
            <a:ext uri="{FF2B5EF4-FFF2-40B4-BE49-F238E27FC236}">
              <a16:creationId xmlns:a16="http://schemas.microsoft.com/office/drawing/2014/main" id="{00000000-0008-0000-0A00-0000A1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10" name="AutoShape 13">
          <a:extLst>
            <a:ext uri="{FF2B5EF4-FFF2-40B4-BE49-F238E27FC236}">
              <a16:creationId xmlns:a16="http://schemas.microsoft.com/office/drawing/2014/main" id="{00000000-0008-0000-0A00-0000A2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11" name="AutoShape 14">
          <a:extLst>
            <a:ext uri="{FF2B5EF4-FFF2-40B4-BE49-F238E27FC236}">
              <a16:creationId xmlns:a16="http://schemas.microsoft.com/office/drawing/2014/main" id="{00000000-0008-0000-0A00-0000A3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12" name="AutoShape 15">
          <a:extLst>
            <a:ext uri="{FF2B5EF4-FFF2-40B4-BE49-F238E27FC236}">
              <a16:creationId xmlns:a16="http://schemas.microsoft.com/office/drawing/2014/main" id="{00000000-0008-0000-0A00-0000A4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wsDr>
</file>

<file path=xl/drawings/drawing9.xml><?xml version="1.0" encoding="utf-8"?>
<xdr:wsDr xmlns:xdr="http://schemas.openxmlformats.org/drawingml/2006/spreadsheetDrawing" xmlns:a="http://schemas.openxmlformats.org/drawingml/2006/main">
  <xdr:twoCellAnchor>
    <xdr:from>
      <xdr:col>14</xdr:col>
      <xdr:colOff>154781</xdr:colOff>
      <xdr:row>11</xdr:row>
      <xdr:rowOff>0</xdr:rowOff>
    </xdr:from>
    <xdr:to>
      <xdr:col>18</xdr:col>
      <xdr:colOff>238124</xdr:colOff>
      <xdr:row>27</xdr:row>
      <xdr:rowOff>2</xdr:rowOff>
    </xdr:to>
    <xdr:sp macro="" textlink="">
      <xdr:nvSpPr>
        <xdr:cNvPr id="2" name="Rectangle à coins arrondis 1">
          <a:extLst>
            <a:ext uri="{FF2B5EF4-FFF2-40B4-BE49-F238E27FC236}">
              <a16:creationId xmlns:a16="http://schemas.microsoft.com/office/drawing/2014/main" id="{00000000-0008-0000-0B00-000002000000}"/>
            </a:ext>
          </a:extLst>
        </xdr:cNvPr>
        <xdr:cNvSpPr/>
      </xdr:nvSpPr>
      <xdr:spPr bwMode="auto">
        <a:xfrm>
          <a:off x="16978312" y="2286002"/>
          <a:ext cx="3131343" cy="2726531"/>
        </a:xfrm>
        <a:prstGeom prst="wedgeRoundRectCallout">
          <a:avLst>
            <a:gd name="adj1" fmla="val -166825"/>
            <a:gd name="adj2" fmla="val -11898"/>
            <a:gd name="adj3" fmla="val 16667"/>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horzOverflow="clip" wrap="square" lIns="18288" tIns="0" rIns="0" bIns="0" rtlCol="0" anchor="t" upright="1"/>
        <a:lstStyle/>
        <a:p>
          <a:r>
            <a:rPr lang="fr-FR" sz="1100">
              <a:effectLst/>
              <a:latin typeface="+mn-lt"/>
              <a:ea typeface="+mn-ea"/>
              <a:cs typeface="+mn-cs"/>
            </a:rPr>
            <a:t>Identifiez les documents de votre projet et leurs états:</a:t>
          </a:r>
        </a:p>
        <a:p>
          <a:r>
            <a:rPr lang="fr-FR" sz="1100">
              <a:effectLst/>
              <a:latin typeface="+mn-lt"/>
              <a:ea typeface="+mn-ea"/>
              <a:cs typeface="+mn-cs"/>
            </a:rPr>
            <a:t>Documents en entrées: Dossier Client (les documents fournis par  votre client pour caractériser ses attendus) et les Document de références (Cours, normes, tuttos pertinents dans le cadre de votre projet)</a:t>
          </a:r>
        </a:p>
        <a:p>
          <a:r>
            <a:rPr lang="fr-FR" sz="1100">
              <a:effectLst/>
              <a:latin typeface="+mn-lt"/>
              <a:ea typeface="+mn-ea"/>
              <a:cs typeface="+mn-cs"/>
            </a:rPr>
            <a:t>Document en sortie : ce que vous produisez dans le cadre du projet.</a:t>
          </a:r>
        </a:p>
        <a:p>
          <a:r>
            <a:rPr lang="fr-FR" sz="1100">
              <a:effectLst/>
              <a:latin typeface="+mn-lt"/>
              <a:ea typeface="+mn-ea"/>
              <a:cs typeface="+mn-cs"/>
            </a:rPr>
            <a:t>Renseignez au fur et à mesure  leurs états et rendez les accessibles par hyperlien.</a:t>
          </a:r>
        </a:p>
        <a:p>
          <a:endParaRPr lang="fr-FR" sz="1100">
            <a:effectLst/>
            <a:latin typeface="+mn-lt"/>
            <a:ea typeface="+mn-ea"/>
            <a:cs typeface="+mn-cs"/>
          </a:endParaRPr>
        </a:p>
        <a:p>
          <a:endParaRPr lang="fr-FR" sz="1100">
            <a:effectLst/>
            <a:latin typeface="+mn-lt"/>
            <a:ea typeface="+mn-ea"/>
            <a:cs typeface="+mn-cs"/>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0</xdr:colOff>
      <xdr:row>39</xdr:row>
      <xdr:rowOff>0</xdr:rowOff>
    </xdr:from>
    <xdr:to>
      <xdr:col>7</xdr:col>
      <xdr:colOff>701337</xdr:colOff>
      <xdr:row>46</xdr:row>
      <xdr:rowOff>49184</xdr:rowOff>
    </xdr:to>
    <xdr:sp macro="" textlink="">
      <xdr:nvSpPr>
        <xdr:cNvPr id="6" name="Textfeld 49">
          <a:extLst>
            <a:ext uri="{FF2B5EF4-FFF2-40B4-BE49-F238E27FC236}">
              <a16:creationId xmlns:a16="http://schemas.microsoft.com/office/drawing/2014/main" id="{19C14151-12E6-4748-B114-76AAEE0C97AF}"/>
            </a:ext>
          </a:extLst>
        </xdr:cNvPr>
        <xdr:cNvSpPr txBox="1"/>
      </xdr:nvSpPr>
      <xdr:spPr>
        <a:xfrm>
          <a:off x="114300" y="9700260"/>
          <a:ext cx="7086897" cy="1222664"/>
        </a:xfrm>
        <a:prstGeom prst="rect">
          <a:avLst/>
        </a:prstGeom>
        <a:ln/>
      </xdr:spPr>
      <xdr:style>
        <a:lnRef idx="1">
          <a:schemeClr val="accent4"/>
        </a:lnRef>
        <a:fillRef idx="2">
          <a:schemeClr val="accent4"/>
        </a:fillRef>
        <a:effectRef idx="1">
          <a:schemeClr val="accent4"/>
        </a:effectRef>
        <a:fontRef idx="minor">
          <a:schemeClr val="dk1"/>
        </a:fontRef>
      </xdr:style>
      <xdr:txBody>
        <a:bodyPr rot="0" spcFirstLastPara="0" vert="horz" wrap="square" lIns="91440" tIns="45720" rIns="91440" bIns="45720" numCol="1" spcCol="0" rtlCol="0" fromWordArt="0" anchor="t" anchorCtr="0" forceAA="0" compatLnSpc="1">
          <a:prstTxWarp prst="textNoShape">
            <a:avLst/>
          </a:prstTxWarp>
          <a:noAutofit/>
        </a:bodyPr>
        <a:lstStyle/>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Legende: </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hh: Un humain heure		                                            DT : Développeur Dunant</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hj: Un humain jour			                </a:t>
          </a:r>
          <a:r>
            <a:rPr lang="fr-FR" sz="1200" i="1" kern="100" baseline="0">
              <a:effectLst/>
              <a:ea typeface="Aptos" panose="020B0004020202020204" pitchFamily="34" charset="0"/>
              <a:cs typeface="Times New Roman" panose="02020603050405020304" pitchFamily="18" charset="0"/>
            </a:rPr>
            <a:t> </a:t>
          </a:r>
          <a:r>
            <a:rPr lang="fr-FR" sz="1200" i="1" kern="100">
              <a:effectLst/>
              <a:ea typeface="Aptos" panose="020B0004020202020204" pitchFamily="34" charset="0"/>
              <a:cs typeface="Times New Roman" panose="02020603050405020304" pitchFamily="18" charset="0"/>
            </a:rPr>
            <a:t>DR : Développeur Russel</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1 jour: 5 heures de temps réelles.	                                         DW : Développeur Wassim</a:t>
          </a:r>
          <a:endParaRPr lang="de-DE" sz="1200" kern="100">
            <a:effectLst/>
            <a:ea typeface="Aptos" panose="020B0004020202020204" pitchFamily="34" charset="0"/>
            <a:cs typeface="Times New Roman" panose="02020603050405020304" pitchFamily="18" charset="0"/>
          </a:endParaRPr>
        </a:p>
      </xdr:txBody>
    </xdr:sp>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8">
    <pageSetUpPr fitToPage="1"/>
  </sheetPr>
  <dimension ref="B1:S25"/>
  <sheetViews>
    <sheetView showGridLines="0" topLeftCell="A3" zoomScale="80" zoomScaleNormal="80" zoomScalePageLayoutView="70" workbookViewId="0">
      <selection activeCell="Q9" sqref="Q9"/>
    </sheetView>
  </sheetViews>
  <sheetFormatPr baseColWidth="10" defaultColWidth="11.44140625" defaultRowHeight="13.2"/>
  <cols>
    <col min="1" max="1" width="1.6640625" style="5" customWidth="1"/>
    <col min="2" max="2" width="11.44140625" style="5"/>
    <col min="3" max="3" width="29.5546875" style="5" customWidth="1"/>
    <col min="4" max="4" width="0.88671875" style="5" customWidth="1"/>
    <col min="5" max="13" width="10.6640625" style="5" customWidth="1"/>
    <col min="14" max="14" width="15.6640625" style="5" customWidth="1"/>
    <col min="15" max="16384" width="11.44140625" style="5"/>
  </cols>
  <sheetData>
    <row r="1" spans="2:16" ht="17.399999999999999">
      <c r="B1" s="112"/>
      <c r="C1" s="113"/>
      <c r="D1" s="113"/>
      <c r="E1" s="113"/>
      <c r="F1" s="113"/>
      <c r="G1" s="113"/>
      <c r="H1" s="113"/>
      <c r="I1" s="113"/>
      <c r="J1" s="113"/>
      <c r="K1" s="113"/>
      <c r="L1" s="215" t="s">
        <v>27</v>
      </c>
      <c r="M1" s="216"/>
      <c r="N1" s="217"/>
      <c r="P1" s="24"/>
    </row>
    <row r="2" spans="2:16" ht="12.75" customHeight="1">
      <c r="B2" s="114"/>
      <c r="C2" s="115"/>
      <c r="D2" s="115"/>
      <c r="E2" s="115"/>
      <c r="F2" s="115"/>
      <c r="G2" s="115"/>
      <c r="H2" s="115"/>
      <c r="I2" s="115"/>
      <c r="J2" s="115"/>
      <c r="K2" s="115"/>
      <c r="L2" s="218">
        <v>45912</v>
      </c>
      <c r="M2" s="219"/>
      <c r="N2" s="220"/>
    </row>
    <row r="3" spans="2:16" ht="12.75" customHeight="1" thickBot="1">
      <c r="B3" s="116"/>
      <c r="C3" s="117"/>
      <c r="D3" s="117"/>
      <c r="E3" s="117"/>
      <c r="F3" s="117"/>
      <c r="G3" s="117"/>
      <c r="H3" s="117"/>
      <c r="I3" s="117"/>
      <c r="J3" s="117"/>
      <c r="K3" s="117"/>
      <c r="L3" s="221" t="s">
        <v>28</v>
      </c>
      <c r="M3" s="222"/>
      <c r="N3" s="223"/>
      <c r="P3" s="24"/>
    </row>
    <row r="4" spans="2:16" ht="12.75" customHeight="1" thickBot="1">
      <c r="P4" s="25"/>
    </row>
    <row r="5" spans="2:16" ht="23.4" thickBot="1">
      <c r="B5" s="206" t="s">
        <v>17</v>
      </c>
      <c r="C5" s="206"/>
      <c r="D5" s="6"/>
      <c r="E5" s="224" t="s">
        <v>264</v>
      </c>
      <c r="F5" s="224"/>
      <c r="G5" s="224"/>
      <c r="H5" s="224"/>
      <c r="I5" s="224"/>
      <c r="J5" s="224"/>
      <c r="K5" s="224"/>
      <c r="L5" s="224"/>
      <c r="M5" s="224"/>
      <c r="N5" s="224"/>
    </row>
    <row r="6" spans="2:16" ht="12" customHeight="1" thickBot="1">
      <c r="B6" s="7"/>
      <c r="C6" s="8"/>
      <c r="E6" s="9"/>
      <c r="F6" s="9"/>
      <c r="G6" s="9"/>
      <c r="H6" s="9"/>
      <c r="I6" s="9"/>
      <c r="J6" s="9"/>
      <c r="K6" s="9"/>
      <c r="L6" s="9"/>
      <c r="M6" s="9"/>
      <c r="N6" s="9"/>
    </row>
    <row r="7" spans="2:16" ht="18" thickBot="1">
      <c r="B7" s="206" t="s">
        <v>79</v>
      </c>
      <c r="C7" s="206"/>
      <c r="D7" s="6"/>
      <c r="E7" s="209" t="s">
        <v>263</v>
      </c>
      <c r="F7" s="210"/>
      <c r="G7" s="210"/>
      <c r="H7" s="210"/>
      <c r="I7" s="210"/>
      <c r="J7" s="210"/>
      <c r="K7" s="210"/>
      <c r="L7" s="210"/>
      <c r="M7" s="210"/>
      <c r="N7" s="211"/>
    </row>
    <row r="8" spans="2:16" ht="9.6" customHeight="1" thickBot="1">
      <c r="B8" s="10"/>
      <c r="C8" s="11"/>
      <c r="D8" s="6"/>
      <c r="E8" s="12"/>
      <c r="F8" s="12"/>
      <c r="G8" s="12"/>
      <c r="H8" s="12"/>
      <c r="I8" s="12"/>
      <c r="J8" s="12"/>
      <c r="K8" s="12"/>
      <c r="L8" s="12"/>
      <c r="M8" s="12"/>
      <c r="N8" s="12"/>
    </row>
    <row r="9" spans="2:16" ht="54.6" customHeight="1" thickBot="1">
      <c r="B9" s="212" t="s">
        <v>2</v>
      </c>
      <c r="C9" s="212"/>
      <c r="D9" s="6"/>
      <c r="E9" s="213" t="s">
        <v>277</v>
      </c>
      <c r="F9" s="214"/>
      <c r="G9" s="214"/>
      <c r="H9" s="214"/>
      <c r="I9" s="214"/>
      <c r="J9" s="214"/>
      <c r="K9" s="214"/>
      <c r="L9" s="214"/>
      <c r="M9" s="214"/>
      <c r="N9" s="214"/>
    </row>
    <row r="10" spans="2:16" ht="10.95" customHeight="1" thickBot="1">
      <c r="B10" s="10"/>
      <c r="C10" s="11"/>
      <c r="D10" s="6"/>
      <c r="E10" s="12"/>
      <c r="F10" s="12"/>
      <c r="G10" s="12"/>
      <c r="H10" s="12"/>
      <c r="I10" s="12"/>
      <c r="J10" s="12"/>
      <c r="K10" s="12"/>
      <c r="L10" s="12"/>
      <c r="M10" s="12"/>
      <c r="N10" s="12"/>
    </row>
    <row r="11" spans="2:16" ht="61.2" customHeight="1" thickBot="1">
      <c r="B11" s="206" t="s">
        <v>16</v>
      </c>
      <c r="C11" s="206"/>
      <c r="D11" s="6"/>
      <c r="E11" s="213" t="s">
        <v>67</v>
      </c>
      <c r="F11" s="214"/>
      <c r="G11" s="214"/>
      <c r="H11" s="214"/>
      <c r="I11" s="214"/>
      <c r="J11" s="214"/>
      <c r="K11" s="214"/>
      <c r="L11" s="214"/>
      <c r="M11" s="214"/>
      <c r="N11" s="214"/>
    </row>
    <row r="12" spans="2:16" ht="10.95" customHeight="1" thickBot="1">
      <c r="B12" s="10"/>
      <c r="C12" s="11"/>
      <c r="D12" s="6"/>
      <c r="E12" s="12"/>
      <c r="F12" s="12"/>
      <c r="G12" s="12"/>
      <c r="H12" s="12"/>
      <c r="I12" s="12"/>
      <c r="J12" s="12"/>
      <c r="K12" s="12"/>
      <c r="L12" s="12"/>
      <c r="M12" s="12"/>
      <c r="N12" s="12"/>
    </row>
    <row r="13" spans="2:16" ht="99" customHeight="1" thickBot="1">
      <c r="B13" s="206" t="s">
        <v>3</v>
      </c>
      <c r="C13" s="206"/>
      <c r="D13" s="6"/>
      <c r="E13" s="207" t="s">
        <v>265</v>
      </c>
      <c r="F13" s="208"/>
      <c r="G13" s="208"/>
      <c r="H13" s="208"/>
      <c r="I13" s="208"/>
      <c r="J13" s="208"/>
      <c r="K13" s="208"/>
      <c r="L13" s="208"/>
      <c r="M13" s="208"/>
      <c r="N13" s="208"/>
    </row>
    <row r="14" spans="2:16" ht="73.5" customHeight="1">
      <c r="B14" s="13"/>
      <c r="C14" s="13"/>
      <c r="D14" s="14"/>
      <c r="E14" s="15"/>
      <c r="F14" s="15"/>
      <c r="G14" s="15"/>
      <c r="H14" s="15"/>
      <c r="I14" s="15"/>
      <c r="J14" s="15"/>
      <c r="K14" s="15"/>
      <c r="L14" s="15"/>
      <c r="M14" s="15"/>
      <c r="N14" s="15"/>
    </row>
    <row r="15" spans="2:16" ht="18.75" customHeight="1"/>
    <row r="25" spans="19:19">
      <c r="S25" s="46"/>
    </row>
  </sheetData>
  <sheetProtection selectLockedCells="1" selectUnlockedCells="1"/>
  <mergeCells count="13">
    <mergeCell ref="L1:N1"/>
    <mergeCell ref="L2:N2"/>
    <mergeCell ref="L3:N3"/>
    <mergeCell ref="B5:C5"/>
    <mergeCell ref="E5:N5"/>
    <mergeCell ref="B13:C13"/>
    <mergeCell ref="E13:N13"/>
    <mergeCell ref="B7:C7"/>
    <mergeCell ref="E7:N7"/>
    <mergeCell ref="B9:C9"/>
    <mergeCell ref="E9:N9"/>
    <mergeCell ref="B11:C11"/>
    <mergeCell ref="E11:N11"/>
  </mergeCells>
  <dataValidations count="1">
    <dataValidation type="list" allowBlank="1" showErrorMessage="1" sqref="E8:N8 E10:N10 E12:N12" xr:uid="{00000000-0002-0000-0000-000000000000}">
      <formula1>"Customer funding,Private Venture on Business Plan,Mixed"</formula1>
      <formula2>0</formula2>
    </dataValidation>
  </dataValidations>
  <pageMargins left="0.23622047244094491" right="0.23622047244094491" top="0.23622047244094491" bottom="0.23622047244094491" header="0" footer="0"/>
  <pageSetup paperSize="9" scale="65" firstPageNumber="0" orientation="landscape" horizontalDpi="300"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1">
    <outlinePr summaryBelow="0" summaryRight="0"/>
    <pageSetUpPr fitToPage="1"/>
  </sheetPr>
  <dimension ref="A1:O30"/>
  <sheetViews>
    <sheetView showGridLines="0" zoomScale="73" zoomScaleNormal="80" workbookViewId="0">
      <selection activeCell="D35" sqref="D35"/>
    </sheetView>
  </sheetViews>
  <sheetFormatPr baseColWidth="10" defaultColWidth="11.44140625" defaultRowHeight="13.2" outlineLevelRow="2"/>
  <cols>
    <col min="1" max="1" width="26.33203125" style="3" bestFit="1" customWidth="1"/>
    <col min="2" max="2" width="11.44140625" style="3" customWidth="1"/>
    <col min="3" max="3" width="24.77734375" style="3" bestFit="1" customWidth="1"/>
    <col min="4" max="4" width="12.109375" style="3" customWidth="1"/>
    <col min="5" max="5" width="85.109375" style="4" customWidth="1"/>
    <col min="6" max="6" width="36.44140625" style="4" bestFit="1" customWidth="1"/>
    <col min="7" max="7" width="17.109375" style="4" customWidth="1"/>
    <col min="8" max="8" width="21.6640625" style="4" customWidth="1"/>
    <col min="9" max="9" width="26.5546875" style="3" customWidth="1"/>
    <col min="10" max="16384" width="11.44140625" style="3"/>
  </cols>
  <sheetData>
    <row r="1" spans="1:15" ht="13.5" customHeight="1">
      <c r="A1" s="2"/>
      <c r="B1" s="109"/>
      <c r="C1" s="109"/>
      <c r="D1" s="109"/>
      <c r="E1" s="109"/>
      <c r="F1" s="109"/>
      <c r="G1" s="225" t="str">
        <f>'1a-Identification Projet'!$L1</f>
        <v>reference Tableau de bord</v>
      </c>
      <c r="H1" s="226"/>
    </row>
    <row r="2" spans="1:15" ht="12.75" customHeight="1">
      <c r="A2" s="106"/>
      <c r="B2" s="110"/>
      <c r="C2" s="110"/>
      <c r="D2" s="110"/>
      <c r="E2" s="110"/>
      <c r="F2" s="110"/>
      <c r="G2" s="227">
        <f>'1a-Identification Projet'!$L2</f>
        <v>45912</v>
      </c>
      <c r="H2" s="228"/>
    </row>
    <row r="3" spans="1:15" ht="16.5" customHeight="1" thickBot="1">
      <c r="A3" s="1"/>
      <c r="B3" s="111"/>
      <c r="C3" s="111"/>
      <c r="D3" s="111"/>
      <c r="E3" s="111"/>
      <c r="F3" s="111"/>
      <c r="G3" s="229" t="str">
        <f>'1a-Identification Projet'!$L3</f>
        <v>Organisation</v>
      </c>
      <c r="H3" s="230"/>
    </row>
    <row r="4" spans="1:15" ht="12.75" customHeight="1">
      <c r="B4" s="26"/>
      <c r="C4" s="26"/>
      <c r="D4" s="26"/>
    </row>
    <row r="5" spans="1:15" ht="14.25" customHeight="1">
      <c r="A5"/>
      <c r="B5"/>
      <c r="C5"/>
      <c r="D5"/>
      <c r="E5"/>
      <c r="F5"/>
      <c r="G5"/>
      <c r="H5"/>
    </row>
    <row r="7" spans="1:15" ht="36.6" customHeight="1">
      <c r="A7" s="126" t="s">
        <v>77</v>
      </c>
      <c r="B7" s="126"/>
      <c r="C7" s="126"/>
      <c r="D7" s="127"/>
      <c r="E7" s="127"/>
      <c r="F7" s="127"/>
      <c r="G7" s="127"/>
      <c r="H7" s="127"/>
    </row>
    <row r="8" spans="1:15" ht="96" customHeight="1">
      <c r="A8" s="231" t="s">
        <v>101</v>
      </c>
      <c r="B8" s="231"/>
      <c r="C8" s="231"/>
      <c r="D8" s="231"/>
      <c r="E8" s="231"/>
      <c r="F8" s="231"/>
      <c r="G8" s="231"/>
      <c r="H8" s="231"/>
    </row>
    <row r="9" spans="1:15" ht="13.8" thickBot="1">
      <c r="A9" s="76" t="s">
        <v>78</v>
      </c>
      <c r="B9" s="41"/>
      <c r="C9" s="41"/>
      <c r="D9" s="41"/>
      <c r="E9" s="39"/>
      <c r="F9" s="39"/>
      <c r="G9" s="39"/>
      <c r="H9" s="39"/>
    </row>
    <row r="10" spans="1:15" ht="41.4" thickBot="1">
      <c r="A10" s="119" t="s">
        <v>82</v>
      </c>
      <c r="B10" s="119" t="s">
        <v>88</v>
      </c>
      <c r="C10" s="119" t="s">
        <v>80</v>
      </c>
      <c r="D10" s="119" t="s">
        <v>89</v>
      </c>
      <c r="E10" s="108" t="s">
        <v>76</v>
      </c>
      <c r="F10" s="108" t="s">
        <v>90</v>
      </c>
      <c r="G10" s="120" t="s">
        <v>81</v>
      </c>
      <c r="H10" s="121"/>
    </row>
    <row r="11" spans="1:15" ht="41.4" outlineLevel="2">
      <c r="A11" s="122" t="s">
        <v>84</v>
      </c>
      <c r="B11" s="122" t="s">
        <v>85</v>
      </c>
      <c r="C11" s="122" t="s">
        <v>102</v>
      </c>
      <c r="D11" s="122" t="s">
        <v>22</v>
      </c>
      <c r="E11" s="123" t="s">
        <v>103</v>
      </c>
      <c r="F11" s="124" t="s">
        <v>104</v>
      </c>
      <c r="G11" s="232" t="s">
        <v>105</v>
      </c>
      <c r="H11" s="233"/>
    </row>
    <row r="12" spans="1:15" ht="41.4" outlineLevel="2">
      <c r="A12" s="122" t="s">
        <v>84</v>
      </c>
      <c r="B12" s="122" t="s">
        <v>106</v>
      </c>
      <c r="C12" s="122" t="s">
        <v>107</v>
      </c>
      <c r="D12" s="122" t="s">
        <v>22</v>
      </c>
      <c r="E12" s="124" t="s">
        <v>108</v>
      </c>
      <c r="F12" s="123" t="s">
        <v>109</v>
      </c>
      <c r="G12" s="232" t="s">
        <v>110</v>
      </c>
      <c r="H12" s="234"/>
      <c r="I12" s="4"/>
      <c r="J12" s="4"/>
      <c r="K12" s="4"/>
      <c r="L12" s="4"/>
      <c r="M12" s="4"/>
      <c r="N12" s="4"/>
      <c r="O12" s="4"/>
    </row>
    <row r="13" spans="1:15" s="4" customFormat="1" ht="27.6" outlineLevel="2">
      <c r="A13" s="122" t="s">
        <v>84</v>
      </c>
      <c r="B13" s="122" t="s">
        <v>111</v>
      </c>
      <c r="C13" s="125" t="s">
        <v>112</v>
      </c>
      <c r="D13" s="122" t="s">
        <v>22</v>
      </c>
      <c r="E13" s="124" t="s">
        <v>113</v>
      </c>
      <c r="F13" s="124"/>
      <c r="G13" s="232" t="s">
        <v>114</v>
      </c>
      <c r="H13" s="234"/>
    </row>
    <row r="14" spans="1:15" s="4" customFormat="1" ht="27.6" outlineLevel="2">
      <c r="A14" s="122" t="s">
        <v>84</v>
      </c>
      <c r="B14" s="122" t="s">
        <v>115</v>
      </c>
      <c r="C14" s="125" t="s">
        <v>116</v>
      </c>
      <c r="D14" s="122" t="s">
        <v>22</v>
      </c>
      <c r="E14" s="124" t="s">
        <v>117</v>
      </c>
      <c r="F14" s="124" t="s">
        <v>118</v>
      </c>
      <c r="G14" s="232" t="s">
        <v>119</v>
      </c>
      <c r="H14" s="234"/>
    </row>
    <row r="15" spans="1:15" s="4" customFormat="1" ht="41.4" outlineLevel="2">
      <c r="A15" s="122" t="s">
        <v>84</v>
      </c>
      <c r="B15" s="122" t="s">
        <v>120</v>
      </c>
      <c r="C15" s="125" t="s">
        <v>121</v>
      </c>
      <c r="D15" s="122" t="s">
        <v>22</v>
      </c>
      <c r="E15" s="123" t="s">
        <v>122</v>
      </c>
      <c r="F15" s="123" t="s">
        <v>123</v>
      </c>
      <c r="G15" s="232" t="s">
        <v>124</v>
      </c>
      <c r="H15" s="234"/>
      <c r="I15" s="3"/>
      <c r="J15" s="3"/>
      <c r="K15" s="3"/>
      <c r="L15" s="3"/>
      <c r="M15" s="3"/>
      <c r="N15" s="3"/>
      <c r="O15" s="3"/>
    </row>
    <row r="16" spans="1:15" ht="13.8" outlineLevel="2">
      <c r="A16" s="122" t="s">
        <v>84</v>
      </c>
      <c r="B16" s="122" t="s">
        <v>125</v>
      </c>
      <c r="C16" s="122" t="s">
        <v>126</v>
      </c>
      <c r="D16" s="122" t="s">
        <v>22</v>
      </c>
      <c r="E16" s="124" t="s">
        <v>127</v>
      </c>
      <c r="F16" s="124" t="s">
        <v>128</v>
      </c>
      <c r="G16" s="232" t="s">
        <v>129</v>
      </c>
      <c r="H16" s="234"/>
    </row>
    <row r="17" spans="1:8" ht="41.4" outlineLevel="2">
      <c r="A17" s="122" t="s">
        <v>84</v>
      </c>
      <c r="B17" s="122" t="s">
        <v>130</v>
      </c>
      <c r="C17" s="122" t="s">
        <v>131</v>
      </c>
      <c r="D17" s="122" t="s">
        <v>22</v>
      </c>
      <c r="E17" s="124" t="s">
        <v>132</v>
      </c>
      <c r="F17" s="123" t="s">
        <v>133</v>
      </c>
      <c r="G17" s="232" t="s">
        <v>134</v>
      </c>
      <c r="H17" s="234"/>
    </row>
    <row r="18" spans="1:8" ht="41.4">
      <c r="A18" s="122" t="s">
        <v>84</v>
      </c>
      <c r="B18" s="122" t="s">
        <v>135</v>
      </c>
      <c r="C18" s="122" t="s">
        <v>136</v>
      </c>
      <c r="D18" s="122" t="s">
        <v>22</v>
      </c>
      <c r="E18" s="123" t="s">
        <v>137</v>
      </c>
      <c r="F18" s="123" t="s">
        <v>138</v>
      </c>
      <c r="G18" s="232" t="s">
        <v>139</v>
      </c>
      <c r="H18" s="234"/>
    </row>
    <row r="19" spans="1:8" ht="27.6">
      <c r="A19" s="122" t="s">
        <v>84</v>
      </c>
      <c r="B19" s="122" t="s">
        <v>140</v>
      </c>
      <c r="C19" s="125" t="s">
        <v>141</v>
      </c>
      <c r="D19" s="122" t="s">
        <v>22</v>
      </c>
      <c r="E19" s="124" t="s">
        <v>142</v>
      </c>
      <c r="F19" s="123" t="s">
        <v>143</v>
      </c>
      <c r="G19" s="232" t="s">
        <v>144</v>
      </c>
      <c r="H19" s="234"/>
    </row>
    <row r="20" spans="1:8" ht="27.6">
      <c r="A20" s="122" t="s">
        <v>84</v>
      </c>
      <c r="B20" s="122" t="s">
        <v>145</v>
      </c>
      <c r="C20" s="122" t="s">
        <v>146</v>
      </c>
      <c r="D20" s="122" t="s">
        <v>22</v>
      </c>
      <c r="E20" s="124" t="s">
        <v>147</v>
      </c>
      <c r="F20" s="123" t="s">
        <v>148</v>
      </c>
      <c r="G20" s="232" t="s">
        <v>149</v>
      </c>
      <c r="H20" s="234"/>
    </row>
    <row r="21" spans="1:8" ht="27.6">
      <c r="A21" s="122" t="s">
        <v>84</v>
      </c>
      <c r="B21" s="122" t="s">
        <v>150</v>
      </c>
      <c r="C21" s="122" t="s">
        <v>151</v>
      </c>
      <c r="D21" s="122" t="s">
        <v>22</v>
      </c>
      <c r="E21" s="124" t="s">
        <v>152</v>
      </c>
      <c r="F21" s="123" t="s">
        <v>153</v>
      </c>
      <c r="G21" s="232" t="s">
        <v>154</v>
      </c>
      <c r="H21" s="234"/>
    </row>
    <row r="22" spans="1:8" ht="27.6">
      <c r="A22" s="122" t="s">
        <v>84</v>
      </c>
      <c r="B22" s="122" t="s">
        <v>155</v>
      </c>
      <c r="C22" s="122" t="s">
        <v>156</v>
      </c>
      <c r="D22" s="122" t="s">
        <v>22</v>
      </c>
      <c r="E22" s="124" t="s">
        <v>157</v>
      </c>
      <c r="F22" s="123" t="s">
        <v>158</v>
      </c>
      <c r="G22" s="232" t="s">
        <v>159</v>
      </c>
      <c r="H22" s="234"/>
    </row>
    <row r="23" spans="1:8" ht="27.6">
      <c r="A23" s="122" t="s">
        <v>83</v>
      </c>
      <c r="B23" s="122" t="s">
        <v>86</v>
      </c>
      <c r="C23" s="125" t="s">
        <v>160</v>
      </c>
      <c r="D23" s="122" t="s">
        <v>22</v>
      </c>
      <c r="E23" s="124" t="s">
        <v>161</v>
      </c>
      <c r="F23" s="124" t="s">
        <v>162</v>
      </c>
      <c r="G23" s="232" t="s">
        <v>163</v>
      </c>
      <c r="H23" s="234"/>
    </row>
    <row r="24" spans="1:8" ht="13.8">
      <c r="A24" s="122" t="s">
        <v>83</v>
      </c>
      <c r="B24" s="122" t="s">
        <v>164</v>
      </c>
      <c r="C24" s="122" t="s">
        <v>165</v>
      </c>
      <c r="D24" s="122" t="s">
        <v>22</v>
      </c>
      <c r="E24" s="124" t="s">
        <v>166</v>
      </c>
      <c r="F24" s="124" t="s">
        <v>167</v>
      </c>
      <c r="G24" s="232" t="s">
        <v>168</v>
      </c>
      <c r="H24" s="234"/>
    </row>
    <row r="25" spans="1:8" ht="27.6">
      <c r="A25" s="122" t="s">
        <v>83</v>
      </c>
      <c r="B25" s="122" t="s">
        <v>169</v>
      </c>
      <c r="C25" s="125" t="s">
        <v>170</v>
      </c>
      <c r="D25" s="122" t="s">
        <v>22</v>
      </c>
      <c r="E25" s="124" t="s">
        <v>171</v>
      </c>
      <c r="F25" s="124" t="s">
        <v>172</v>
      </c>
      <c r="G25" s="232" t="s">
        <v>173</v>
      </c>
      <c r="H25" s="234"/>
    </row>
    <row r="26" spans="1:8" ht="13.8">
      <c r="A26" s="122" t="s">
        <v>83</v>
      </c>
      <c r="B26" s="122" t="s">
        <v>174</v>
      </c>
      <c r="C26" s="122" t="s">
        <v>175</v>
      </c>
      <c r="D26" s="122" t="s">
        <v>22</v>
      </c>
      <c r="E26" s="124" t="s">
        <v>176</v>
      </c>
      <c r="F26" s="124" t="s">
        <v>177</v>
      </c>
      <c r="G26" s="232" t="s">
        <v>178</v>
      </c>
      <c r="H26" s="234"/>
    </row>
    <row r="27" spans="1:8" ht="27.6">
      <c r="A27" s="122" t="s">
        <v>83</v>
      </c>
      <c r="B27" s="122" t="s">
        <v>179</v>
      </c>
      <c r="C27" s="122" t="s">
        <v>180</v>
      </c>
      <c r="D27" s="122" t="s">
        <v>22</v>
      </c>
      <c r="E27" s="124" t="s">
        <v>181</v>
      </c>
      <c r="F27" s="123" t="s">
        <v>182</v>
      </c>
      <c r="G27" s="232" t="s">
        <v>183</v>
      </c>
      <c r="H27" s="234"/>
    </row>
    <row r="28" spans="1:8" ht="13.8">
      <c r="A28" s="122" t="s">
        <v>83</v>
      </c>
      <c r="B28" s="122" t="s">
        <v>184</v>
      </c>
      <c r="C28" s="122" t="s">
        <v>185</v>
      </c>
      <c r="D28" s="122" t="s">
        <v>22</v>
      </c>
      <c r="E28" s="124" t="s">
        <v>186</v>
      </c>
      <c r="F28" s="124" t="s">
        <v>187</v>
      </c>
      <c r="G28" s="232" t="s">
        <v>188</v>
      </c>
      <c r="H28" s="234"/>
    </row>
    <row r="29" spans="1:8" ht="13.8">
      <c r="A29" s="122" t="s">
        <v>83</v>
      </c>
      <c r="B29" s="122" t="s">
        <v>189</v>
      </c>
      <c r="C29" s="122" t="s">
        <v>190</v>
      </c>
      <c r="D29" s="122" t="s">
        <v>22</v>
      </c>
      <c r="E29" s="124" t="s">
        <v>191</v>
      </c>
      <c r="F29" s="124" t="s">
        <v>192</v>
      </c>
      <c r="G29" s="232" t="s">
        <v>193</v>
      </c>
      <c r="H29" s="234"/>
    </row>
    <row r="30" spans="1:8" ht="13.8">
      <c r="A30" s="122" t="s">
        <v>83</v>
      </c>
      <c r="B30" s="122" t="s">
        <v>194</v>
      </c>
      <c r="C30" s="122"/>
      <c r="D30" s="122" t="s">
        <v>22</v>
      </c>
      <c r="E30" s="124"/>
      <c r="F30" s="124"/>
      <c r="G30" s="232"/>
      <c r="H30" s="234"/>
    </row>
  </sheetData>
  <mergeCells count="24">
    <mergeCell ref="G27:H27"/>
    <mergeCell ref="G28:H28"/>
    <mergeCell ref="G29:H29"/>
    <mergeCell ref="G30:H30"/>
    <mergeCell ref="G22:H22"/>
    <mergeCell ref="G23:H23"/>
    <mergeCell ref="G24:H24"/>
    <mergeCell ref="G25:H25"/>
    <mergeCell ref="G26:H26"/>
    <mergeCell ref="G17:H17"/>
    <mergeCell ref="G18:H18"/>
    <mergeCell ref="G19:H19"/>
    <mergeCell ref="G20:H20"/>
    <mergeCell ref="G21:H21"/>
    <mergeCell ref="G12:H12"/>
    <mergeCell ref="G13:H13"/>
    <mergeCell ref="G14:H14"/>
    <mergeCell ref="G15:H15"/>
    <mergeCell ref="G16:H16"/>
    <mergeCell ref="G1:H1"/>
    <mergeCell ref="G2:H2"/>
    <mergeCell ref="G3:H3"/>
    <mergeCell ref="A8:H8"/>
    <mergeCell ref="G11:H11"/>
  </mergeCells>
  <printOptions horizontalCentered="1"/>
  <pageMargins left="0.23622047244094491" right="0.23622047244094491" top="0.23622047244094491" bottom="0.23622047244094491" header="0" footer="0"/>
  <pageSetup paperSize="9" scale="7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G14" sqref="G14"/>
    </sheetView>
  </sheetViews>
  <sheetFormatPr baseColWidth="10" defaultColWidth="11.5546875" defaultRowHeight="13.2"/>
  <cols>
    <col min="1" max="16384" width="11.5546875" style="172"/>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10">
    <pageSetUpPr fitToPage="1"/>
  </sheetPr>
  <dimension ref="A1:M39"/>
  <sheetViews>
    <sheetView showGridLines="0" topLeftCell="A13" zoomScaleNormal="80" workbookViewId="0">
      <selection activeCell="L20" sqref="L20"/>
    </sheetView>
  </sheetViews>
  <sheetFormatPr baseColWidth="10" defaultColWidth="11.44140625" defaultRowHeight="13.2"/>
  <cols>
    <col min="1" max="1" width="1.6640625" style="3" customWidth="1"/>
    <col min="2" max="16384" width="11.44140625" style="3"/>
  </cols>
  <sheetData>
    <row r="1" spans="1:13" ht="17.399999999999999">
      <c r="A1" s="16"/>
      <c r="B1" s="94"/>
      <c r="C1" s="95"/>
      <c r="D1" s="95"/>
      <c r="E1" s="95"/>
      <c r="F1" s="95"/>
      <c r="G1" s="95"/>
      <c r="H1" s="95"/>
      <c r="I1" s="95"/>
      <c r="J1" s="95"/>
      <c r="K1" s="235" t="str">
        <f>'1a-Identification Projet'!$L$1</f>
        <v>reference Tableau de bord</v>
      </c>
      <c r="L1" s="236"/>
      <c r="M1" s="237"/>
    </row>
    <row r="2" spans="1:13" s="16" customFormat="1" ht="12.75" customHeight="1">
      <c r="B2" s="96"/>
      <c r="C2" s="97"/>
      <c r="D2" s="97"/>
      <c r="E2" s="97"/>
      <c r="F2" s="97"/>
      <c r="G2" s="97"/>
      <c r="H2" s="97"/>
      <c r="I2" s="97"/>
      <c r="J2" s="97"/>
      <c r="K2" s="238">
        <f>'1a-Identification Projet'!$L$2</f>
        <v>45912</v>
      </c>
      <c r="L2" s="239"/>
      <c r="M2" s="240"/>
    </row>
    <row r="3" spans="1:13" s="16" customFormat="1" ht="12.75" customHeight="1" thickBot="1">
      <c r="B3" s="98"/>
      <c r="C3" s="99"/>
      <c r="D3" s="99"/>
      <c r="E3" s="99"/>
      <c r="F3" s="99"/>
      <c r="G3" s="99"/>
      <c r="H3" s="99"/>
      <c r="I3" s="99"/>
      <c r="J3" s="99"/>
      <c r="K3" s="241" t="str">
        <f>'1a-Identification Projet'!$L$3</f>
        <v>Organisation</v>
      </c>
      <c r="L3" s="242"/>
      <c r="M3" s="243"/>
    </row>
    <row r="4" spans="1:13" s="16" customFormat="1" ht="12.75" customHeight="1">
      <c r="A4" s="3"/>
      <c r="B4" s="3"/>
      <c r="C4" s="3"/>
      <c r="D4" s="17"/>
      <c r="E4" s="17"/>
      <c r="F4" s="17"/>
      <c r="G4" s="17"/>
      <c r="H4" s="17"/>
      <c r="I4" s="17"/>
      <c r="J4" s="17"/>
      <c r="K4" s="18"/>
      <c r="L4" s="18"/>
      <c r="M4" s="3"/>
    </row>
    <row r="5" spans="1:13" ht="13.5" customHeight="1">
      <c r="D5" s="17"/>
      <c r="E5" s="17"/>
      <c r="F5" s="17"/>
      <c r="G5" s="17"/>
      <c r="H5" s="17"/>
      <c r="I5" s="17"/>
      <c r="J5" s="17"/>
      <c r="K5" s="18"/>
      <c r="L5" s="18"/>
    </row>
    <row r="6" spans="1:13" ht="13.5" customHeight="1">
      <c r="D6" s="17"/>
      <c r="E6" s="17"/>
      <c r="F6" s="17"/>
      <c r="G6" s="17"/>
      <c r="H6" s="17"/>
      <c r="I6" s="17"/>
      <c r="J6" s="17"/>
      <c r="K6" s="18"/>
      <c r="L6" s="18"/>
    </row>
    <row r="7" spans="1:13" ht="13.5" customHeight="1">
      <c r="D7" s="17"/>
      <c r="E7" s="17"/>
      <c r="F7" s="17"/>
      <c r="G7" s="17"/>
      <c r="H7" s="17"/>
      <c r="I7" s="17"/>
      <c r="J7" s="17"/>
      <c r="K7" s="18"/>
      <c r="L7" s="18"/>
    </row>
    <row r="8" spans="1:13" ht="13.5" customHeight="1">
      <c r="D8" s="17"/>
      <c r="E8" s="17"/>
      <c r="F8" s="17"/>
      <c r="G8" s="17"/>
      <c r="H8" s="17"/>
      <c r="I8" s="17"/>
      <c r="J8" s="17"/>
      <c r="K8" s="18"/>
      <c r="L8" s="18"/>
    </row>
    <row r="9" spans="1:13" ht="13.5" customHeight="1">
      <c r="D9" s="17"/>
      <c r="E9" s="17"/>
      <c r="F9" s="17"/>
      <c r="G9" s="17"/>
      <c r="H9" s="17"/>
      <c r="I9" s="17"/>
      <c r="J9" s="17"/>
      <c r="K9" s="18"/>
      <c r="L9" s="18"/>
    </row>
    <row r="10" spans="1:13" ht="13.5" customHeight="1">
      <c r="D10" s="18"/>
      <c r="E10" s="18"/>
    </row>
    <row r="11" spans="1:13" ht="13.5" customHeight="1">
      <c r="D11" s="18"/>
      <c r="E11" s="18"/>
    </row>
    <row r="12" spans="1:13" ht="13.5" customHeight="1">
      <c r="D12" s="18"/>
      <c r="E12" s="18"/>
    </row>
    <row r="13" spans="1:13" ht="13.5" customHeight="1">
      <c r="D13" s="18"/>
      <c r="E13" s="18"/>
    </row>
    <row r="14" spans="1:13" ht="13.5" customHeight="1">
      <c r="D14" s="18"/>
      <c r="E14" s="18"/>
    </row>
    <row r="15" spans="1:13" ht="13.5" customHeight="1"/>
    <row r="16" spans="1:13"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sheetData>
  <sheetProtection selectLockedCells="1" selectUnlockedCells="1"/>
  <mergeCells count="3">
    <mergeCell ref="K1:M1"/>
    <mergeCell ref="K2:M2"/>
    <mergeCell ref="K3:M3"/>
  </mergeCells>
  <pageMargins left="0.23622047244094491" right="0.23622047244094491" top="0.23622047244094491" bottom="0.23622047244094491" header="0" footer="0"/>
  <pageSetup paperSize="9" firstPageNumber="0" orientation="landscape"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18">
    <pageSetUpPr fitToPage="1"/>
  </sheetPr>
  <dimension ref="A1:T57"/>
  <sheetViews>
    <sheetView showGridLines="0" topLeftCell="A36" zoomScale="87" zoomScaleNormal="80" workbookViewId="0">
      <selection activeCell="J65" sqref="J65"/>
    </sheetView>
  </sheetViews>
  <sheetFormatPr baseColWidth="10" defaultColWidth="11.44140625" defaultRowHeight="13.2"/>
  <cols>
    <col min="1" max="1" width="1.6640625" style="3" customWidth="1"/>
    <col min="2" max="16384" width="11.44140625" style="3"/>
  </cols>
  <sheetData>
    <row r="1" spans="1:14" ht="17.399999999999999">
      <c r="A1" s="16"/>
      <c r="B1" s="94"/>
      <c r="C1" s="95"/>
      <c r="D1" s="95"/>
      <c r="E1" s="95"/>
      <c r="F1" s="95"/>
      <c r="G1" s="95"/>
      <c r="H1" s="95"/>
      <c r="I1" s="95"/>
      <c r="J1" s="95"/>
      <c r="K1" s="235" t="str">
        <f>'1a-Identification Projet'!$L$1</f>
        <v>reference Tableau de bord</v>
      </c>
      <c r="L1" s="236"/>
      <c r="M1" s="237"/>
    </row>
    <row r="2" spans="1:14" s="16" customFormat="1" ht="12.75" customHeight="1">
      <c r="B2" s="96"/>
      <c r="C2" s="97"/>
      <c r="D2" s="97"/>
      <c r="E2" s="97"/>
      <c r="F2" s="97"/>
      <c r="G2" s="97"/>
      <c r="H2" s="97"/>
      <c r="I2" s="97"/>
      <c r="J2" s="97"/>
      <c r="K2" s="238">
        <f>'1a-Identification Projet'!$L$2</f>
        <v>45912</v>
      </c>
      <c r="L2" s="239"/>
      <c r="M2" s="240"/>
    </row>
    <row r="3" spans="1:14" s="16" customFormat="1" ht="12.75" customHeight="1" thickBot="1">
      <c r="B3" s="98"/>
      <c r="C3" s="99"/>
      <c r="D3" s="99"/>
      <c r="E3" s="99"/>
      <c r="F3" s="99"/>
      <c r="G3" s="99"/>
      <c r="H3" s="99"/>
      <c r="I3" s="99"/>
      <c r="J3" s="99"/>
      <c r="K3" s="241" t="str">
        <f>'1a-Identification Projet'!$L$3</f>
        <v>Organisation</v>
      </c>
      <c r="L3" s="242"/>
      <c r="M3" s="243"/>
    </row>
    <row r="4" spans="1:14" s="16" customFormat="1" ht="12.75" customHeight="1">
      <c r="A4" s="3"/>
      <c r="B4" s="3"/>
      <c r="C4" s="3"/>
      <c r="D4" s="17"/>
      <c r="E4" s="17"/>
      <c r="F4" s="17"/>
      <c r="G4" s="17"/>
      <c r="H4" s="17"/>
      <c r="I4" s="17"/>
      <c r="J4" s="17"/>
      <c r="K4" s="18"/>
      <c r="L4" s="18"/>
      <c r="M4" s="3"/>
    </row>
    <row r="5" spans="1:14" ht="13.5" customHeight="1">
      <c r="D5" s="17"/>
      <c r="E5" s="17"/>
      <c r="F5" s="17"/>
      <c r="G5" s="17"/>
      <c r="H5" s="17"/>
      <c r="I5" s="17"/>
      <c r="J5" s="17"/>
      <c r="K5" s="18"/>
      <c r="L5" s="18"/>
    </row>
    <row r="6" spans="1:14" ht="13.5" customHeight="1">
      <c r="D6" s="17"/>
      <c r="E6" s="17"/>
      <c r="F6" s="17"/>
      <c r="G6" s="17"/>
      <c r="H6" s="17"/>
      <c r="I6" s="17"/>
      <c r="J6" s="17"/>
      <c r="K6" s="18"/>
      <c r="L6" s="18"/>
    </row>
    <row r="7" spans="1:14" ht="13.5" customHeight="1">
      <c r="D7" s="17"/>
      <c r="E7" s="17"/>
      <c r="F7" s="17"/>
      <c r="G7" s="17"/>
      <c r="H7" s="17"/>
      <c r="I7" s="17"/>
      <c r="J7" s="17"/>
      <c r="K7" s="18"/>
      <c r="L7" s="18"/>
    </row>
    <row r="8" spans="1:14" ht="13.5" customHeight="1">
      <c r="B8" s="17"/>
      <c r="C8" s="17"/>
      <c r="D8" s="17"/>
      <c r="E8" s="17"/>
      <c r="F8" s="17"/>
      <c r="G8" s="17"/>
      <c r="H8" s="17"/>
      <c r="I8" s="18"/>
      <c r="J8" s="18"/>
    </row>
    <row r="9" spans="1:14" ht="13.5" customHeight="1">
      <c r="B9"/>
      <c r="C9"/>
      <c r="D9"/>
      <c r="E9"/>
      <c r="F9"/>
      <c r="G9"/>
      <c r="H9"/>
      <c r="I9"/>
      <c r="J9"/>
      <c r="K9"/>
      <c r="L9"/>
      <c r="M9"/>
      <c r="N9"/>
    </row>
    <row r="10" spans="1:14" ht="13.5" customHeight="1">
      <c r="B10"/>
      <c r="C10"/>
      <c r="D10"/>
      <c r="E10"/>
      <c r="F10"/>
      <c r="G10"/>
      <c r="H10"/>
      <c r="I10"/>
      <c r="J10"/>
      <c r="K10"/>
      <c r="L10"/>
      <c r="M10"/>
      <c r="N10"/>
    </row>
    <row r="11" spans="1:14" ht="13.5" customHeight="1">
      <c r="B11"/>
      <c r="C11"/>
      <c r="D11"/>
      <c r="E11"/>
      <c r="F11"/>
      <c r="G11"/>
      <c r="H11"/>
      <c r="I11"/>
      <c r="J11"/>
      <c r="K11"/>
      <c r="L11"/>
      <c r="M11"/>
      <c r="N11"/>
    </row>
    <row r="12" spans="1:14" ht="13.5" customHeight="1">
      <c r="B12"/>
      <c r="C12"/>
      <c r="D12"/>
      <c r="E12"/>
      <c r="F12"/>
      <c r="G12"/>
      <c r="H12"/>
      <c r="I12"/>
      <c r="J12"/>
      <c r="K12"/>
      <c r="L12"/>
      <c r="M12"/>
      <c r="N12"/>
    </row>
    <row r="13" spans="1:14" ht="13.5" customHeight="1">
      <c r="B13"/>
      <c r="E13" s="17"/>
      <c r="F13" s="17"/>
      <c r="G13" s="17"/>
      <c r="H13" s="17"/>
      <c r="I13" s="17"/>
      <c r="J13" s="17"/>
      <c r="K13" s="17"/>
      <c r="L13" s="18"/>
      <c r="M13" s="18"/>
      <c r="N13" s="18"/>
    </row>
    <row r="14" spans="1:14" ht="13.5" customHeight="1">
      <c r="B14"/>
      <c r="E14" s="17"/>
      <c r="F14" s="17"/>
      <c r="G14" s="17"/>
      <c r="H14" s="17"/>
      <c r="I14" s="17"/>
      <c r="J14" s="17"/>
      <c r="K14" s="17"/>
      <c r="L14" s="18"/>
      <c r="M14" s="18"/>
      <c r="N14" s="18"/>
    </row>
    <row r="15" spans="1:14" ht="13.5" customHeight="1">
      <c r="B15"/>
      <c r="E15" s="17"/>
      <c r="F15" s="17"/>
      <c r="G15" s="17"/>
      <c r="H15" s="17"/>
      <c r="I15" s="17"/>
      <c r="J15" s="17"/>
      <c r="K15" s="17"/>
      <c r="L15" s="18"/>
      <c r="M15" s="18"/>
      <c r="N15" s="18"/>
    </row>
    <row r="16" spans="1:14" ht="13.5" customHeight="1">
      <c r="B16"/>
      <c r="E16" s="17"/>
      <c r="F16" s="17"/>
      <c r="G16" s="17"/>
      <c r="H16" s="17"/>
      <c r="I16" s="17"/>
      <c r="J16" s="17"/>
      <c r="K16" s="17"/>
      <c r="L16" s="18"/>
      <c r="M16" s="18"/>
      <c r="N16" s="18"/>
    </row>
    <row r="17" spans="2:20" ht="13.5" customHeight="1">
      <c r="B17"/>
      <c r="E17" s="17"/>
      <c r="F17" s="17"/>
      <c r="G17" s="17"/>
      <c r="H17" s="17"/>
      <c r="I17" s="17"/>
      <c r="J17" s="17"/>
      <c r="K17" s="17"/>
      <c r="L17" s="18"/>
      <c r="M17" s="18"/>
      <c r="N17" s="18"/>
    </row>
    <row r="18" spans="2:20" ht="13.5" customHeight="1">
      <c r="B18"/>
      <c r="E18" s="17"/>
      <c r="F18" s="17"/>
      <c r="G18" s="17"/>
      <c r="H18" s="17"/>
      <c r="I18" s="17"/>
      <c r="J18" s="17"/>
      <c r="K18" s="17"/>
      <c r="L18" s="18"/>
      <c r="M18" s="18"/>
      <c r="N18" s="18"/>
    </row>
    <row r="19" spans="2:20" ht="13.5" customHeight="1">
      <c r="B19"/>
      <c r="E19" s="17"/>
      <c r="F19" s="17"/>
      <c r="G19" s="17"/>
      <c r="H19" s="17"/>
      <c r="I19" s="17"/>
      <c r="J19" s="17"/>
      <c r="K19" s="17"/>
      <c r="L19" s="18"/>
      <c r="M19" s="18"/>
      <c r="N19" s="18"/>
    </row>
    <row r="20" spans="2:20" ht="13.5" customHeight="1">
      <c r="B20"/>
      <c r="E20" s="17"/>
      <c r="F20" s="17"/>
      <c r="G20" s="17"/>
      <c r="H20" s="17"/>
      <c r="I20" s="17"/>
      <c r="J20" s="17"/>
      <c r="K20" s="17"/>
      <c r="L20" s="18"/>
      <c r="M20" s="18"/>
      <c r="N20" s="18"/>
    </row>
    <row r="21" spans="2:20" ht="13.5" customHeight="1">
      <c r="B21"/>
      <c r="E21" s="17"/>
      <c r="F21" s="17"/>
      <c r="G21" s="17"/>
      <c r="H21" s="17"/>
      <c r="I21" s="17"/>
      <c r="J21" s="17"/>
      <c r="K21" s="17"/>
      <c r="L21" s="18"/>
      <c r="M21" s="18"/>
      <c r="N21" s="18"/>
    </row>
    <row r="22" spans="2:20" ht="13.5" customHeight="1">
      <c r="B22"/>
      <c r="E22" s="17"/>
      <c r="F22" s="17"/>
      <c r="G22" s="17"/>
      <c r="H22"/>
      <c r="I22"/>
      <c r="J22"/>
      <c r="K22"/>
      <c r="L22"/>
      <c r="M22"/>
      <c r="N22"/>
      <c r="O22"/>
      <c r="P22"/>
      <c r="Q22"/>
      <c r="R22"/>
      <c r="S22"/>
      <c r="T22"/>
    </row>
    <row r="23" spans="2:20" ht="13.5" customHeight="1">
      <c r="B23"/>
      <c r="E23" s="17"/>
      <c r="F23" s="17"/>
      <c r="G23" s="17"/>
      <c r="H23"/>
      <c r="I23"/>
      <c r="J23"/>
      <c r="K23"/>
      <c r="L23"/>
      <c r="M23"/>
      <c r="N23"/>
      <c r="O23"/>
      <c r="P23"/>
      <c r="Q23"/>
      <c r="R23"/>
      <c r="S23"/>
      <c r="T23"/>
    </row>
    <row r="24" spans="2:20" ht="13.5" customHeight="1">
      <c r="B24"/>
      <c r="E24" s="17"/>
      <c r="F24" s="17"/>
      <c r="G24" s="17"/>
      <c r="H24"/>
      <c r="I24"/>
      <c r="J24"/>
      <c r="K24"/>
      <c r="L24"/>
      <c r="M24"/>
      <c r="N24"/>
      <c r="O24"/>
      <c r="P24"/>
      <c r="Q24"/>
      <c r="R24"/>
      <c r="S24"/>
      <c r="T24"/>
    </row>
    <row r="25" spans="2:20" ht="13.5" customHeight="1">
      <c r="B25"/>
      <c r="E25" s="17"/>
      <c r="F25" s="17"/>
      <c r="G25" s="17"/>
      <c r="H25"/>
      <c r="I25"/>
      <c r="J25"/>
      <c r="K25"/>
      <c r="L25"/>
      <c r="M25"/>
      <c r="N25"/>
      <c r="O25"/>
      <c r="P25"/>
      <c r="Q25"/>
      <c r="R25"/>
      <c r="S25"/>
      <c r="T25"/>
    </row>
    <row r="26" spans="2:20" ht="13.5" customHeight="1">
      <c r="B26"/>
      <c r="E26" s="17"/>
      <c r="F26" s="17"/>
      <c r="G26" s="17"/>
      <c r="H26"/>
      <c r="I26"/>
      <c r="J26"/>
      <c r="K26"/>
      <c r="L26"/>
      <c r="M26"/>
      <c r="N26"/>
      <c r="O26"/>
      <c r="P26"/>
      <c r="Q26"/>
      <c r="R26"/>
      <c r="S26"/>
      <c r="T26"/>
    </row>
    <row r="27" spans="2:20" ht="13.5" customHeight="1">
      <c r="B27"/>
      <c r="E27" s="17"/>
      <c r="F27" s="17"/>
      <c r="G27" s="17"/>
      <c r="H27"/>
      <c r="I27"/>
      <c r="J27"/>
      <c r="K27"/>
      <c r="L27"/>
      <c r="M27"/>
      <c r="N27"/>
      <c r="O27"/>
      <c r="P27"/>
      <c r="Q27"/>
      <c r="R27"/>
      <c r="S27"/>
      <c r="T27"/>
    </row>
    <row r="28" spans="2:20" ht="13.5" customHeight="1">
      <c r="B28"/>
      <c r="E28" s="17"/>
      <c r="F28" s="17"/>
      <c r="G28" s="17"/>
      <c r="H28"/>
      <c r="I28"/>
      <c r="J28"/>
      <c r="K28"/>
      <c r="L28"/>
      <c r="M28"/>
      <c r="N28"/>
      <c r="O28"/>
      <c r="P28"/>
      <c r="Q28"/>
      <c r="R28"/>
      <c r="S28"/>
      <c r="T28"/>
    </row>
    <row r="29" spans="2:20" ht="13.5" customHeight="1">
      <c r="B29"/>
      <c r="E29" s="17"/>
      <c r="F29" s="17"/>
      <c r="G29" s="17"/>
      <c r="H29"/>
      <c r="I29"/>
      <c r="J29"/>
      <c r="K29"/>
      <c r="L29"/>
      <c r="M29"/>
      <c r="N29"/>
      <c r="O29"/>
      <c r="P29"/>
      <c r="Q29"/>
      <c r="R29"/>
      <c r="S29"/>
      <c r="T29"/>
    </row>
    <row r="30" spans="2:20" ht="13.5" customHeight="1">
      <c r="B30"/>
      <c r="E30" s="17"/>
      <c r="F30" s="17"/>
      <c r="G30" s="17"/>
      <c r="H30"/>
      <c r="I30"/>
      <c r="J30"/>
      <c r="K30"/>
      <c r="L30"/>
      <c r="M30"/>
      <c r="N30"/>
      <c r="O30"/>
      <c r="P30"/>
      <c r="Q30"/>
      <c r="R30"/>
      <c r="S30"/>
      <c r="T30"/>
    </row>
    <row r="31" spans="2:20" ht="13.5" customHeight="1">
      <c r="B31"/>
      <c r="E31" s="17"/>
      <c r="F31" s="17"/>
      <c r="G31" s="17"/>
      <c r="H31"/>
      <c r="I31"/>
      <c r="J31"/>
      <c r="K31"/>
      <c r="L31"/>
      <c r="M31"/>
      <c r="N31"/>
      <c r="O31"/>
      <c r="P31"/>
      <c r="Q31"/>
      <c r="R31"/>
      <c r="S31"/>
      <c r="T31"/>
    </row>
    <row r="32" spans="2:20" ht="13.5" customHeight="1">
      <c r="B32"/>
      <c r="H32"/>
      <c r="I32"/>
      <c r="J32"/>
      <c r="K32"/>
      <c r="L32"/>
      <c r="M32"/>
      <c r="N32"/>
      <c r="O32"/>
      <c r="P32"/>
      <c r="Q32"/>
      <c r="R32"/>
      <c r="S32"/>
      <c r="T32"/>
    </row>
    <row r="33" spans="2:20" ht="13.5" customHeight="1">
      <c r="B33" s="17"/>
      <c r="H33"/>
      <c r="I33"/>
      <c r="J33"/>
      <c r="K33"/>
      <c r="L33"/>
      <c r="M33"/>
      <c r="N33"/>
      <c r="O33"/>
      <c r="P33"/>
      <c r="Q33"/>
      <c r="R33"/>
      <c r="S33"/>
      <c r="T33"/>
    </row>
    <row r="34" spans="2:20" ht="13.5" customHeight="1">
      <c r="B34" s="17"/>
      <c r="G34"/>
      <c r="H34"/>
      <c r="I34"/>
      <c r="J34"/>
      <c r="K34"/>
      <c r="L34"/>
      <c r="M34"/>
      <c r="N34"/>
      <c r="O34"/>
      <c r="P34"/>
      <c r="Q34"/>
      <c r="R34"/>
      <c r="S34"/>
      <c r="T34"/>
    </row>
    <row r="35" spans="2:20" ht="13.5" customHeight="1">
      <c r="B35" s="17"/>
      <c r="F35" s="17"/>
      <c r="G35" s="17"/>
      <c r="H35"/>
      <c r="I35"/>
      <c r="J35"/>
      <c r="K35"/>
      <c r="L35"/>
      <c r="M35"/>
      <c r="N35"/>
      <c r="O35"/>
      <c r="P35"/>
      <c r="Q35"/>
      <c r="R35"/>
      <c r="S35"/>
      <c r="T35"/>
    </row>
    <row r="36" spans="2:20" ht="13.5" customHeight="1">
      <c r="B36" s="17"/>
      <c r="F36" s="17"/>
      <c r="G36" s="17"/>
      <c r="H36"/>
      <c r="J36"/>
      <c r="K36"/>
      <c r="L36"/>
      <c r="M36"/>
      <c r="N36"/>
      <c r="O36"/>
      <c r="P36"/>
      <c r="Q36"/>
      <c r="R36"/>
      <c r="S36"/>
      <c r="T36"/>
    </row>
    <row r="37" spans="2:20" ht="13.5" customHeight="1">
      <c r="B37" s="17"/>
      <c r="F37" s="17"/>
      <c r="G37" s="17"/>
      <c r="H37"/>
      <c r="J37"/>
      <c r="K37"/>
      <c r="L37"/>
      <c r="M37"/>
      <c r="N37"/>
      <c r="O37"/>
      <c r="P37"/>
      <c r="Q37"/>
      <c r="R37"/>
      <c r="S37"/>
      <c r="T37"/>
    </row>
    <row r="38" spans="2:20" ht="13.5" customHeight="1">
      <c r="B38" s="17"/>
      <c r="F38" s="17"/>
      <c r="G38" s="17"/>
      <c r="H38"/>
      <c r="J38"/>
      <c r="K38"/>
      <c r="L38"/>
      <c r="M38"/>
      <c r="N38"/>
      <c r="O38"/>
      <c r="P38"/>
      <c r="Q38"/>
      <c r="R38"/>
      <c r="S38"/>
      <c r="T38"/>
    </row>
    <row r="39" spans="2:20" ht="13.5" customHeight="1">
      <c r="B39" s="17"/>
      <c r="F39" s="17"/>
      <c r="G39" s="17"/>
      <c r="H39"/>
      <c r="J39"/>
      <c r="K39"/>
      <c r="L39"/>
      <c r="M39"/>
      <c r="N39"/>
      <c r="O39"/>
      <c r="P39"/>
      <c r="Q39"/>
      <c r="R39"/>
      <c r="S39"/>
      <c r="T39"/>
    </row>
    <row r="40" spans="2:20" ht="17.399999999999999">
      <c r="B40" s="17"/>
      <c r="F40" s="17"/>
      <c r="G40" s="17"/>
      <c r="H40"/>
      <c r="J40"/>
      <c r="K40"/>
      <c r="L40"/>
      <c r="M40"/>
      <c r="N40"/>
      <c r="O40"/>
      <c r="P40"/>
      <c r="Q40"/>
      <c r="R40"/>
      <c r="S40"/>
      <c r="T40"/>
    </row>
    <row r="41" spans="2:20" ht="17.399999999999999">
      <c r="B41" s="17"/>
      <c r="F41" s="17"/>
      <c r="G41" s="17"/>
      <c r="H41"/>
      <c r="J41"/>
      <c r="K41"/>
      <c r="L41"/>
      <c r="M41"/>
      <c r="N41"/>
      <c r="O41"/>
      <c r="P41"/>
      <c r="Q41"/>
      <c r="R41"/>
      <c r="S41"/>
      <c r="T41"/>
    </row>
    <row r="42" spans="2:20">
      <c r="H42"/>
      <c r="J42"/>
      <c r="K42"/>
      <c r="L42"/>
      <c r="M42"/>
      <c r="N42"/>
      <c r="O42"/>
      <c r="P42"/>
      <c r="Q42"/>
      <c r="R42"/>
      <c r="S42"/>
      <c r="T42"/>
    </row>
    <row r="43" spans="2:20">
      <c r="J43"/>
      <c r="K43"/>
      <c r="L43"/>
      <c r="M43"/>
      <c r="N43"/>
      <c r="O43"/>
      <c r="P43"/>
      <c r="Q43"/>
      <c r="R43"/>
      <c r="S43"/>
      <c r="T43"/>
    </row>
    <row r="44" spans="2:20" ht="17.399999999999999">
      <c r="F44" s="17"/>
      <c r="G44" s="17"/>
      <c r="H44"/>
      <c r="J44"/>
      <c r="K44"/>
      <c r="L44"/>
      <c r="M44"/>
      <c r="N44"/>
      <c r="O44"/>
      <c r="P44"/>
      <c r="Q44"/>
      <c r="R44"/>
      <c r="S44"/>
      <c r="T44"/>
    </row>
    <row r="45" spans="2:20" ht="17.399999999999999">
      <c r="F45" s="17"/>
      <c r="G45" s="17"/>
      <c r="H45"/>
      <c r="I45"/>
      <c r="J45"/>
      <c r="K45"/>
      <c r="L45"/>
      <c r="M45"/>
      <c r="N45"/>
      <c r="O45"/>
      <c r="P45"/>
      <c r="Q45"/>
      <c r="R45"/>
      <c r="S45"/>
      <c r="T45"/>
    </row>
    <row r="46" spans="2:20" ht="17.399999999999999">
      <c r="F46" s="17"/>
      <c r="G46" s="17"/>
      <c r="H46"/>
      <c r="I46"/>
      <c r="J46"/>
      <c r="K46"/>
      <c r="L46"/>
      <c r="M46"/>
      <c r="N46"/>
      <c r="O46"/>
      <c r="P46"/>
      <c r="Q46"/>
      <c r="R46"/>
      <c r="S46"/>
      <c r="T46"/>
    </row>
    <row r="47" spans="2:20" ht="17.399999999999999">
      <c r="F47" s="17"/>
      <c r="G47" s="17"/>
      <c r="H47"/>
      <c r="I47"/>
      <c r="J47"/>
      <c r="K47"/>
      <c r="L47"/>
      <c r="M47"/>
      <c r="N47"/>
      <c r="O47"/>
      <c r="P47"/>
      <c r="Q47"/>
      <c r="R47"/>
      <c r="S47"/>
      <c r="T47"/>
    </row>
    <row r="48" spans="2:20" ht="17.399999999999999">
      <c r="F48" s="17"/>
      <c r="G48" s="17"/>
      <c r="H48"/>
      <c r="I48"/>
      <c r="J48"/>
      <c r="K48"/>
      <c r="L48"/>
      <c r="M48"/>
      <c r="N48"/>
      <c r="O48"/>
      <c r="P48"/>
      <c r="Q48"/>
      <c r="R48"/>
      <c r="S48"/>
      <c r="T48"/>
    </row>
    <row r="49" spans="6:20" ht="17.399999999999999">
      <c r="F49" s="17"/>
      <c r="G49" s="17"/>
      <c r="H49"/>
      <c r="I49"/>
      <c r="J49"/>
      <c r="K49"/>
      <c r="L49"/>
      <c r="M49"/>
      <c r="N49"/>
      <c r="O49"/>
      <c r="P49"/>
      <c r="Q49"/>
      <c r="R49"/>
      <c r="S49"/>
      <c r="T49"/>
    </row>
    <row r="50" spans="6:20" ht="17.399999999999999">
      <c r="F50" s="17"/>
      <c r="G50" s="17"/>
      <c r="H50"/>
      <c r="I50"/>
      <c r="J50"/>
      <c r="K50"/>
      <c r="L50"/>
      <c r="M50"/>
      <c r="N50"/>
      <c r="O50"/>
      <c r="P50"/>
      <c r="Q50"/>
      <c r="R50"/>
      <c r="S50"/>
      <c r="T50"/>
    </row>
    <row r="51" spans="6:20">
      <c r="H51"/>
      <c r="I51"/>
      <c r="J51"/>
      <c r="K51"/>
      <c r="L51"/>
      <c r="M51"/>
      <c r="N51"/>
      <c r="O51"/>
      <c r="P51"/>
      <c r="Q51"/>
      <c r="R51"/>
      <c r="S51"/>
      <c r="T51"/>
    </row>
    <row r="52" spans="6:20">
      <c r="I52"/>
      <c r="J52"/>
      <c r="K52"/>
      <c r="L52"/>
      <c r="M52"/>
      <c r="N52"/>
      <c r="O52"/>
      <c r="P52"/>
      <c r="Q52"/>
      <c r="R52"/>
      <c r="S52"/>
      <c r="T52"/>
    </row>
    <row r="53" spans="6:20">
      <c r="I53"/>
      <c r="J53"/>
      <c r="K53"/>
      <c r="L53"/>
      <c r="M53"/>
      <c r="N53"/>
      <c r="O53"/>
      <c r="P53"/>
      <c r="Q53"/>
      <c r="R53"/>
      <c r="S53"/>
      <c r="T53"/>
    </row>
    <row r="54" spans="6:20" ht="17.399999999999999">
      <c r="F54" s="17"/>
      <c r="G54" s="17"/>
      <c r="H54"/>
      <c r="I54"/>
    </row>
    <row r="55" spans="6:20">
      <c r="F55"/>
      <c r="G55"/>
      <c r="H55"/>
      <c r="I55"/>
    </row>
    <row r="56" spans="6:20">
      <c r="F56"/>
      <c r="G56"/>
      <c r="H56"/>
      <c r="I56"/>
    </row>
    <row r="57" spans="6:20">
      <c r="F57"/>
      <c r="G57"/>
      <c r="H57"/>
      <c r="I57"/>
    </row>
  </sheetData>
  <sheetProtection selectLockedCells="1" selectUnlockedCells="1"/>
  <mergeCells count="3">
    <mergeCell ref="K1:M1"/>
    <mergeCell ref="K2:M2"/>
    <mergeCell ref="K3:M3"/>
  </mergeCells>
  <pageMargins left="0.23622047244094491" right="0.23622047244094491" top="0.23622047244094491" bottom="0.23622047244094491" header="0" footer="0"/>
  <pageSetup paperSize="9" firstPageNumber="0" orientation="landscape" r:id="rId1"/>
  <headerFooter alignWithMargins="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1">
    <pageSetUpPr fitToPage="1"/>
  </sheetPr>
  <dimension ref="A1:P73"/>
  <sheetViews>
    <sheetView showGridLines="0" topLeftCell="A9" zoomScale="80" zoomScaleNormal="80" workbookViewId="0">
      <selection activeCell="H9" sqref="H9"/>
    </sheetView>
  </sheetViews>
  <sheetFormatPr baseColWidth="10" defaultColWidth="11.44140625" defaultRowHeight="13.2"/>
  <cols>
    <col min="1" max="1" width="1.6640625" style="3" customWidth="1"/>
    <col min="2" max="16384" width="11.44140625" style="3"/>
  </cols>
  <sheetData>
    <row r="1" spans="1:15" ht="17.399999999999999">
      <c r="A1" s="16"/>
      <c r="B1" s="94"/>
      <c r="C1" s="95"/>
      <c r="D1" s="95"/>
      <c r="E1" s="95"/>
      <c r="F1" s="95"/>
      <c r="G1" s="95"/>
      <c r="H1" s="95"/>
      <c r="I1" s="95"/>
      <c r="J1" s="95"/>
      <c r="K1" s="235" t="str">
        <f>'1a-Identification Projet'!$L$1</f>
        <v>reference Tableau de bord</v>
      </c>
      <c r="L1" s="244"/>
      <c r="M1" s="236"/>
      <c r="N1" s="237"/>
    </row>
    <row r="2" spans="1:15" s="16" customFormat="1" ht="12.75" customHeight="1">
      <c r="B2" s="96"/>
      <c r="C2" s="97"/>
      <c r="D2" s="97"/>
      <c r="E2" s="97"/>
      <c r="F2" s="97"/>
      <c r="G2" s="97"/>
      <c r="H2" s="97"/>
      <c r="I2" s="97"/>
      <c r="J2" s="97"/>
      <c r="K2" s="238">
        <f>'1a-Identification Projet'!$L$2</f>
        <v>45912</v>
      </c>
      <c r="L2" s="245"/>
      <c r="M2" s="239"/>
      <c r="N2" s="240"/>
    </row>
    <row r="3" spans="1:15" s="16" customFormat="1" ht="12.75" customHeight="1" thickBot="1">
      <c r="B3" s="98"/>
      <c r="C3" s="99"/>
      <c r="D3" s="99"/>
      <c r="E3" s="99"/>
      <c r="F3" s="99"/>
      <c r="G3" s="99"/>
      <c r="H3" s="99"/>
      <c r="I3" s="99"/>
      <c r="J3" s="99"/>
      <c r="K3" s="241" t="str">
        <f>'1a-Identification Projet'!$L$3</f>
        <v>Organisation</v>
      </c>
      <c r="L3" s="246"/>
      <c r="M3" s="242"/>
      <c r="N3" s="243"/>
    </row>
    <row r="4" spans="1:15" s="16" customFormat="1" ht="12.75" customHeight="1">
      <c r="A4" s="3"/>
      <c r="B4" s="3"/>
      <c r="C4" s="3"/>
      <c r="D4" s="17"/>
      <c r="E4" s="17"/>
      <c r="F4" s="17"/>
      <c r="G4" s="17"/>
      <c r="H4" s="17"/>
      <c r="I4" s="17"/>
      <c r="J4" s="17"/>
      <c r="K4" s="18"/>
      <c r="L4" s="18"/>
      <c r="M4" s="18"/>
      <c r="N4" s="3"/>
    </row>
    <row r="5" spans="1:15" ht="13.5" customHeight="1">
      <c r="D5" s="17"/>
      <c r="E5" s="17"/>
      <c r="F5" s="17"/>
      <c r="G5" s="17"/>
      <c r="H5" s="17"/>
      <c r="I5" s="17"/>
      <c r="J5" s="17"/>
      <c r="K5" s="18"/>
      <c r="L5" s="18"/>
      <c r="M5" s="18"/>
    </row>
    <row r="6" spans="1:15" ht="13.5" customHeight="1">
      <c r="D6" s="17"/>
      <c r="E6" s="17"/>
      <c r="F6" s="17"/>
      <c r="G6" s="17"/>
      <c r="H6" s="17"/>
      <c r="I6" s="17"/>
      <c r="J6" s="17"/>
      <c r="K6" s="18"/>
      <c r="L6" s="18"/>
      <c r="M6" s="18"/>
    </row>
    <row r="7" spans="1:15" ht="13.5" customHeight="1">
      <c r="D7" s="17"/>
      <c r="E7" s="17"/>
      <c r="F7" s="17"/>
      <c r="G7" s="17"/>
      <c r="H7" s="17"/>
      <c r="I7" s="17"/>
      <c r="J7" s="17"/>
      <c r="K7" s="18"/>
      <c r="L7" s="18"/>
      <c r="M7" s="18"/>
    </row>
    <row r="8" spans="1:15" ht="13.5" customHeight="1">
      <c r="D8" s="17"/>
      <c r="E8" s="17"/>
      <c r="F8" s="17"/>
      <c r="G8" s="17"/>
      <c r="H8" s="17"/>
      <c r="I8" s="17"/>
      <c r="J8" s="17"/>
      <c r="K8" s="18"/>
      <c r="L8" s="18"/>
      <c r="M8" s="18"/>
    </row>
    <row r="9" spans="1:15" ht="13.5" customHeight="1">
      <c r="F9" s="17"/>
      <c r="G9" s="17"/>
      <c r="H9" s="17"/>
      <c r="I9" s="17"/>
      <c r="J9" s="17"/>
      <c r="K9" s="17"/>
      <c r="L9" s="17"/>
      <c r="M9" s="18"/>
      <c r="N9" s="18"/>
      <c r="O9" s="18"/>
    </row>
    <row r="10" spans="1:15" ht="13.5" customHeight="1">
      <c r="F10" s="17"/>
      <c r="G10" s="17"/>
      <c r="H10" s="17"/>
      <c r="I10" s="17"/>
      <c r="J10" s="17"/>
      <c r="K10" s="17"/>
      <c r="L10" s="17"/>
      <c r="M10" s="18"/>
      <c r="N10" s="18"/>
      <c r="O10" s="18"/>
    </row>
    <row r="11" spans="1:15" ht="13.5" customHeight="1">
      <c r="F11" s="17"/>
      <c r="G11" s="17"/>
      <c r="H11" s="17"/>
      <c r="I11" s="17"/>
      <c r="J11" s="17"/>
      <c r="K11" s="17"/>
      <c r="L11" s="17"/>
      <c r="M11" s="18"/>
      <c r="N11" s="18"/>
      <c r="O11" s="18"/>
    </row>
    <row r="12" spans="1:15" ht="13.5" customHeight="1">
      <c r="F12" s="17"/>
      <c r="G12" s="17"/>
      <c r="H12" s="17"/>
      <c r="I12" s="17"/>
      <c r="J12" s="17"/>
      <c r="K12" s="17"/>
      <c r="L12" s="17"/>
      <c r="M12" s="18"/>
      <c r="N12" s="18"/>
      <c r="O12" s="18"/>
    </row>
    <row r="13" spans="1:15" ht="13.5" customHeight="1">
      <c r="F13" s="17"/>
      <c r="G13" s="17"/>
      <c r="H13" s="17"/>
      <c r="I13" s="17"/>
      <c r="J13" s="17"/>
      <c r="K13" s="17"/>
      <c r="L13" s="17"/>
      <c r="M13" s="18"/>
      <c r="N13" s="18"/>
      <c r="O13" s="18"/>
    </row>
    <row r="14" spans="1:15" ht="13.5" customHeight="1">
      <c r="F14" s="17"/>
      <c r="G14" s="17"/>
      <c r="H14" s="17"/>
      <c r="I14" s="17"/>
      <c r="J14" s="17"/>
      <c r="K14" s="17"/>
      <c r="L14" s="17"/>
      <c r="M14" s="18"/>
      <c r="N14" s="18"/>
      <c r="O14" s="18"/>
    </row>
    <row r="15" spans="1:15" ht="13.5" customHeight="1">
      <c r="F15" s="17"/>
      <c r="G15" s="17"/>
      <c r="H15" s="17"/>
      <c r="I15" s="17"/>
      <c r="J15" s="17"/>
      <c r="K15" s="17"/>
      <c r="L15" s="17"/>
      <c r="M15" s="18"/>
      <c r="N15" s="18"/>
      <c r="O15" s="18"/>
    </row>
    <row r="16" spans="1:15" ht="13.5" customHeight="1">
      <c r="F16" s="17"/>
      <c r="G16" s="17"/>
      <c r="H16" s="17"/>
      <c r="I16" s="17"/>
      <c r="J16" s="17"/>
      <c r="K16" s="17"/>
      <c r="L16" s="17"/>
      <c r="M16" s="18"/>
      <c r="N16" s="18"/>
      <c r="O16" s="18"/>
    </row>
    <row r="17" spans="6:15" ht="13.5" customHeight="1">
      <c r="F17" s="17"/>
      <c r="G17" s="17"/>
      <c r="H17" s="17"/>
      <c r="I17" s="17"/>
      <c r="J17" s="17"/>
      <c r="K17" s="17"/>
      <c r="L17" s="17"/>
      <c r="M17" s="18"/>
      <c r="N17" s="18"/>
      <c r="O17" s="18"/>
    </row>
    <row r="18" spans="6:15" ht="13.5" customHeight="1">
      <c r="F18" s="17"/>
      <c r="G18" s="17"/>
      <c r="H18" s="17"/>
      <c r="I18" s="17"/>
      <c r="J18" s="17"/>
      <c r="K18" s="17"/>
      <c r="L18" s="17"/>
      <c r="M18" s="18"/>
      <c r="N18" s="18"/>
      <c r="O18" s="18"/>
    </row>
    <row r="19" spans="6:15" ht="13.5" customHeight="1">
      <c r="F19" s="17"/>
      <c r="G19" s="17"/>
      <c r="H19" s="17"/>
      <c r="I19" s="17"/>
      <c r="J19" s="17"/>
      <c r="K19" s="17"/>
      <c r="L19" s="17"/>
      <c r="M19" s="18"/>
      <c r="N19" s="18"/>
      <c r="O19" s="18"/>
    </row>
    <row r="20" spans="6:15" ht="13.5" customHeight="1">
      <c r="F20" s="17"/>
      <c r="G20" s="17"/>
      <c r="H20" s="17"/>
      <c r="I20" s="17"/>
      <c r="J20" s="17"/>
      <c r="K20" s="17"/>
      <c r="L20" s="17"/>
      <c r="M20" s="18"/>
      <c r="N20" s="18"/>
      <c r="O20" s="18"/>
    </row>
    <row r="21" spans="6:15" ht="13.5" customHeight="1">
      <c r="F21" s="17"/>
      <c r="G21" s="17"/>
      <c r="H21" s="17"/>
      <c r="I21" s="17"/>
      <c r="J21" s="17"/>
      <c r="K21" s="17"/>
      <c r="L21" s="17"/>
      <c r="M21" s="18"/>
      <c r="N21" s="18"/>
      <c r="O21" s="18"/>
    </row>
    <row r="22" spans="6:15" ht="13.5" customHeight="1">
      <c r="F22" s="17"/>
      <c r="G22" s="17"/>
      <c r="H22" s="17"/>
      <c r="I22" s="17"/>
      <c r="J22" s="17"/>
      <c r="K22" s="17"/>
      <c r="L22" s="17"/>
      <c r="M22" s="18"/>
      <c r="N22" s="18"/>
      <c r="O22" s="18"/>
    </row>
    <row r="23" spans="6:15" ht="13.5" customHeight="1">
      <c r="F23" s="17"/>
      <c r="G23" s="17"/>
      <c r="H23" s="17"/>
      <c r="I23" s="17"/>
      <c r="J23" s="17"/>
      <c r="K23" s="17"/>
      <c r="L23" s="17"/>
      <c r="M23" s="18"/>
      <c r="N23" s="18"/>
      <c r="O23" s="18"/>
    </row>
    <row r="24" spans="6:15" ht="13.5" customHeight="1">
      <c r="F24" s="17"/>
      <c r="G24" s="17"/>
      <c r="H24" s="17"/>
      <c r="I24" s="17"/>
      <c r="J24" s="17"/>
      <c r="K24" s="17"/>
      <c r="L24" s="17"/>
      <c r="M24" s="18"/>
      <c r="N24" s="18"/>
      <c r="O24" s="18"/>
    </row>
    <row r="25" spans="6:15" ht="13.5" customHeight="1">
      <c r="F25" s="17"/>
      <c r="G25" s="17"/>
      <c r="H25" s="17"/>
      <c r="I25" s="17"/>
      <c r="J25" s="17"/>
      <c r="K25" s="17"/>
      <c r="L25" s="17"/>
      <c r="M25" s="18"/>
      <c r="N25" s="18"/>
      <c r="O25" s="18"/>
    </row>
    <row r="26" spans="6:15" ht="13.5" customHeight="1">
      <c r="F26" s="17"/>
      <c r="G26" s="17"/>
      <c r="H26" s="17"/>
      <c r="I26" s="17"/>
      <c r="J26" s="17"/>
      <c r="K26" s="17"/>
      <c r="L26" s="17"/>
      <c r="M26" s="18"/>
      <c r="N26" s="18"/>
      <c r="O26" s="18"/>
    </row>
    <row r="27" spans="6:15" ht="13.5" customHeight="1">
      <c r="F27" s="17"/>
      <c r="G27" s="17"/>
      <c r="H27" s="17"/>
      <c r="I27" s="17"/>
      <c r="J27" s="17"/>
      <c r="K27" s="17"/>
      <c r="L27" s="17"/>
      <c r="M27" s="18"/>
      <c r="N27" s="18"/>
      <c r="O27" s="18"/>
    </row>
    <row r="28" spans="6:15" ht="13.5" customHeight="1">
      <c r="M28" s="18"/>
      <c r="N28" s="18"/>
      <c r="O28" s="18"/>
    </row>
    <row r="29" spans="6:15" ht="29.25" customHeight="1">
      <c r="M29" s="18"/>
      <c r="N29" s="18"/>
      <c r="O29" s="18"/>
    </row>
    <row r="30" spans="6:15" ht="13.5" customHeight="1">
      <c r="M30" s="18"/>
      <c r="N30" s="18"/>
      <c r="O30" s="18"/>
    </row>
    <row r="31" spans="6:15" ht="13.5" customHeight="1">
      <c r="M31" s="18"/>
      <c r="N31" s="18"/>
      <c r="O31" s="18"/>
    </row>
    <row r="32" spans="6:15" ht="13.5" customHeight="1">
      <c r="M32" s="18"/>
      <c r="N32" s="18"/>
      <c r="O32" s="18"/>
    </row>
    <row r="33" spans="12:15" ht="13.5" customHeight="1">
      <c r="M33" s="18"/>
      <c r="N33" s="18"/>
      <c r="O33" s="18"/>
    </row>
    <row r="34" spans="12:15" ht="13.5" customHeight="1"/>
    <row r="46" spans="12:15" ht="17.399999999999999">
      <c r="L46" s="17"/>
    </row>
    <row r="47" spans="12:15" ht="17.399999999999999">
      <c r="L47" s="17"/>
    </row>
    <row r="48" spans="12:15" ht="17.399999999999999">
      <c r="L48" s="17"/>
    </row>
    <row r="49" spans="3:13" ht="17.399999999999999">
      <c r="L49" s="17"/>
    </row>
    <row r="50" spans="3:13" ht="17.399999999999999">
      <c r="L50" s="17"/>
    </row>
    <row r="52" spans="3:13" ht="17.399999999999999">
      <c r="D52" s="17"/>
      <c r="E52" s="17"/>
      <c r="F52" s="17"/>
      <c r="G52" s="17"/>
      <c r="H52" s="17"/>
      <c r="I52" s="17"/>
      <c r="J52" s="17"/>
      <c r="K52" s="18"/>
      <c r="L52" s="18"/>
      <c r="M52" s="18"/>
    </row>
    <row r="53" spans="3:13" ht="17.399999999999999" customHeight="1">
      <c r="C53" s="247"/>
      <c r="D53" s="247"/>
      <c r="E53" s="247"/>
      <c r="F53" s="174"/>
      <c r="G53" s="174"/>
      <c r="H53" s="174"/>
      <c r="I53" s="174"/>
      <c r="K53" s="18"/>
      <c r="L53" s="18"/>
      <c r="M53" s="18"/>
    </row>
    <row r="54" spans="3:13" ht="17.399999999999999">
      <c r="D54" s="17"/>
      <c r="E54" s="17"/>
      <c r="F54" s="17"/>
      <c r="G54" s="17"/>
      <c r="H54" s="17"/>
      <c r="I54" s="17"/>
      <c r="J54" s="17"/>
      <c r="K54" s="18"/>
      <c r="L54" s="18"/>
      <c r="M54" s="18"/>
    </row>
    <row r="55" spans="3:13" ht="17.399999999999999">
      <c r="D55" s="17"/>
      <c r="E55" s="17"/>
      <c r="F55" s="17"/>
      <c r="G55" s="17"/>
      <c r="H55" s="17"/>
      <c r="I55" s="17"/>
      <c r="J55" s="17"/>
      <c r="K55" s="18"/>
      <c r="L55" s="18"/>
      <c r="M55" s="18"/>
    </row>
    <row r="56" spans="3:13" ht="17.399999999999999">
      <c r="D56" s="17"/>
      <c r="E56" s="17"/>
      <c r="F56" s="17"/>
      <c r="G56" s="17"/>
      <c r="H56" s="17"/>
      <c r="I56" s="17"/>
      <c r="J56" s="17"/>
      <c r="K56" s="18"/>
      <c r="L56" s="18"/>
      <c r="M56" s="18"/>
    </row>
    <row r="57" spans="3:13" ht="17.399999999999999">
      <c r="D57" s="17"/>
      <c r="E57" s="17"/>
      <c r="F57" s="17"/>
      <c r="G57" s="17"/>
      <c r="H57" s="17"/>
      <c r="I57" s="17"/>
      <c r="J57" s="17"/>
      <c r="K57" s="18"/>
      <c r="L57" s="18"/>
      <c r="M57" s="18"/>
    </row>
    <row r="58" spans="3:13" ht="17.399999999999999">
      <c r="D58" s="17"/>
      <c r="E58" s="17"/>
      <c r="F58" s="17"/>
      <c r="G58" s="17"/>
      <c r="H58" s="17"/>
      <c r="I58" s="17"/>
      <c r="J58" s="17"/>
      <c r="K58" s="18"/>
      <c r="L58" s="18"/>
      <c r="M58" s="18"/>
    </row>
    <row r="59" spans="3:13" ht="17.399999999999999">
      <c r="D59" s="17"/>
      <c r="E59" s="17"/>
      <c r="F59" s="17"/>
      <c r="G59" s="17"/>
      <c r="H59" s="17"/>
      <c r="I59" s="17"/>
    </row>
    <row r="67" spans="3:16">
      <c r="C67" s="247"/>
      <c r="D67" s="248"/>
      <c r="E67" s="248"/>
      <c r="F67" s="174"/>
      <c r="G67" s="174"/>
      <c r="H67" s="174"/>
      <c r="I67" s="174"/>
      <c r="J67" s="174"/>
      <c r="K67" s="174"/>
      <c r="L67" s="174"/>
      <c r="M67" s="174"/>
      <c r="N67" s="174"/>
      <c r="O67" s="174"/>
      <c r="P67" s="174"/>
    </row>
    <row r="68" spans="3:16" ht="17.399999999999999">
      <c r="D68" s="17"/>
      <c r="E68" s="17"/>
      <c r="F68" s="17"/>
      <c r="G68" s="17"/>
      <c r="H68" s="17"/>
      <c r="I68" s="17"/>
      <c r="J68" s="17"/>
      <c r="K68" s="17"/>
      <c r="L68" s="17"/>
      <c r="M68" s="17"/>
      <c r="N68" s="17"/>
      <c r="O68" s="17"/>
      <c r="P68" s="17"/>
    </row>
    <row r="69" spans="3:16" ht="17.399999999999999">
      <c r="D69" s="17"/>
      <c r="E69" s="17"/>
      <c r="F69" s="17"/>
      <c r="G69" s="17"/>
      <c r="H69" s="17"/>
      <c r="I69" s="17"/>
      <c r="J69" s="17"/>
      <c r="K69" s="17"/>
      <c r="L69" s="17"/>
      <c r="M69" s="17"/>
      <c r="N69" s="17"/>
      <c r="O69" s="17"/>
      <c r="P69" s="17"/>
    </row>
    <row r="70" spans="3:16" ht="17.399999999999999">
      <c r="D70" s="17"/>
      <c r="E70" s="17"/>
      <c r="F70" s="17"/>
      <c r="G70" s="17"/>
      <c r="H70" s="17"/>
      <c r="I70" s="17"/>
      <c r="J70" s="17"/>
      <c r="K70" s="17"/>
      <c r="L70" s="17"/>
      <c r="M70" s="17"/>
      <c r="N70" s="17"/>
      <c r="O70" s="17"/>
      <c r="P70" s="17"/>
    </row>
    <row r="71" spans="3:16" ht="17.399999999999999">
      <c r="D71" s="17"/>
      <c r="E71" s="17"/>
      <c r="F71" s="17"/>
      <c r="G71" s="17"/>
      <c r="H71" s="17"/>
      <c r="I71" s="17"/>
      <c r="J71" s="17"/>
      <c r="K71" s="17"/>
      <c r="L71" s="17"/>
      <c r="M71" s="17"/>
      <c r="N71" s="17"/>
      <c r="O71" s="17"/>
      <c r="P71" s="17"/>
    </row>
    <row r="72" spans="3:16" ht="17.399999999999999">
      <c r="D72" s="17"/>
      <c r="E72" s="17"/>
      <c r="F72" s="17"/>
      <c r="G72" s="17"/>
      <c r="H72" s="17"/>
      <c r="I72" s="17"/>
      <c r="J72" s="17"/>
      <c r="K72" s="17"/>
      <c r="L72" s="17"/>
      <c r="M72" s="17"/>
      <c r="N72" s="17"/>
      <c r="O72" s="17"/>
      <c r="P72" s="17"/>
    </row>
    <row r="73" spans="3:16" ht="17.399999999999999">
      <c r="D73" s="17"/>
      <c r="E73" s="17"/>
      <c r="F73" s="17"/>
      <c r="G73" s="17"/>
      <c r="H73" s="17"/>
      <c r="I73" s="17"/>
      <c r="J73" s="17"/>
      <c r="K73" s="17"/>
      <c r="L73" s="17"/>
      <c r="M73" s="17"/>
      <c r="N73" s="17"/>
      <c r="O73" s="17"/>
      <c r="P73" s="17"/>
    </row>
  </sheetData>
  <sheetProtection selectLockedCells="1" selectUnlockedCells="1"/>
  <mergeCells count="5">
    <mergeCell ref="K1:N1"/>
    <mergeCell ref="K2:N2"/>
    <mergeCell ref="K3:N3"/>
    <mergeCell ref="C53:E53"/>
    <mergeCell ref="C67:E67"/>
  </mergeCells>
  <pageMargins left="0.23622047244094491" right="0.23622047244094491" top="0.23622047244094491" bottom="0.23622047244094491" header="0" footer="0"/>
  <pageSetup paperSize="9" firstPageNumber="0" orientation="landscape" r:id="rId1"/>
  <headerFooter alignWithMargins="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19">
    <pageSetUpPr fitToPage="1"/>
  </sheetPr>
  <dimension ref="A1:O35"/>
  <sheetViews>
    <sheetView showGridLines="0" topLeftCell="A67" zoomScale="79" zoomScaleNormal="80" workbookViewId="0">
      <selection activeCell="J23" sqref="J23"/>
    </sheetView>
  </sheetViews>
  <sheetFormatPr baseColWidth="10" defaultColWidth="11.44140625" defaultRowHeight="13.2"/>
  <cols>
    <col min="1" max="1" width="1.6640625" style="3" customWidth="1"/>
    <col min="2" max="2" width="14.33203125" style="3" customWidth="1"/>
    <col min="3" max="3" width="29" style="3" customWidth="1"/>
    <col min="4" max="5" width="17" style="3" customWidth="1"/>
    <col min="6" max="6" width="16.109375" style="3" customWidth="1"/>
    <col min="7" max="7" width="17.88671875" style="3" customWidth="1"/>
    <col min="8" max="8" width="11.44140625" style="3"/>
    <col min="9" max="10" width="17" style="3" customWidth="1"/>
    <col min="11" max="12" width="11.44140625" style="3"/>
    <col min="13" max="13" width="17.109375" style="3" customWidth="1"/>
    <col min="14" max="16384" width="11.44140625" style="3"/>
  </cols>
  <sheetData>
    <row r="1" spans="1:15" ht="17.399999999999999">
      <c r="A1" s="16"/>
      <c r="B1" s="94"/>
      <c r="C1" s="118"/>
      <c r="D1" s="95"/>
      <c r="E1" s="95"/>
      <c r="F1" s="95"/>
      <c r="G1" s="95"/>
      <c r="H1" s="95"/>
      <c r="I1" s="95"/>
      <c r="J1" s="95"/>
      <c r="K1" s="249" t="str">
        <f>'1a-Identification Projet'!$L$1</f>
        <v>reference Tableau de bord</v>
      </c>
      <c r="L1" s="244"/>
      <c r="M1" s="250"/>
    </row>
    <row r="2" spans="1:15" s="16" customFormat="1" ht="12.75" customHeight="1">
      <c r="B2" s="96"/>
      <c r="C2" s="97"/>
      <c r="D2" s="97"/>
      <c r="E2" s="97"/>
      <c r="F2" s="97"/>
      <c r="G2" s="97"/>
      <c r="H2" s="97"/>
      <c r="I2" s="97"/>
      <c r="J2" s="97"/>
      <c r="K2" s="238">
        <f>'1a-Identification Projet'!$L$2</f>
        <v>45912</v>
      </c>
      <c r="L2" s="239"/>
      <c r="M2" s="240"/>
    </row>
    <row r="3" spans="1:15" s="16" customFormat="1" ht="12.75" customHeight="1" thickBot="1">
      <c r="B3" s="98"/>
      <c r="C3" s="99"/>
      <c r="D3" s="99"/>
      <c r="E3" s="99"/>
      <c r="F3" s="99"/>
      <c r="G3" s="99"/>
      <c r="H3" s="99"/>
      <c r="I3" s="99"/>
      <c r="J3" s="99"/>
      <c r="K3" s="241" t="str">
        <f>'1a-Identification Projet'!$L$3</f>
        <v>Organisation</v>
      </c>
      <c r="L3" s="242"/>
      <c r="M3" s="243"/>
    </row>
    <row r="4" spans="1:15" s="16" customFormat="1" ht="12.75" customHeight="1">
      <c r="A4" s="3"/>
      <c r="B4" s="3"/>
      <c r="C4" s="3"/>
      <c r="D4" s="17"/>
      <c r="E4" s="17"/>
      <c r="F4" s="17"/>
      <c r="G4" s="17"/>
      <c r="H4" s="17"/>
      <c r="I4" s="17"/>
      <c r="J4" s="17"/>
      <c r="K4" s="18"/>
      <c r="L4" s="18"/>
      <c r="M4" s="3"/>
    </row>
    <row r="5" spans="1:15" s="16" customFormat="1" ht="12.75" customHeight="1">
      <c r="A5" s="3"/>
      <c r="B5"/>
      <c r="C5"/>
      <c r="D5"/>
      <c r="E5"/>
      <c r="F5"/>
      <c r="G5"/>
      <c r="H5"/>
      <c r="I5"/>
      <c r="J5"/>
      <c r="K5"/>
      <c r="L5"/>
      <c r="M5"/>
      <c r="N5"/>
      <c r="O5"/>
    </row>
    <row r="6" spans="1:15" s="16" customFormat="1" ht="12.75" customHeight="1" thickBot="1">
      <c r="A6" s="3"/>
      <c r="B6"/>
      <c r="C6"/>
      <c r="D6"/>
      <c r="E6"/>
      <c r="F6"/>
      <c r="G6"/>
      <c r="H6"/>
      <c r="I6"/>
      <c r="J6"/>
      <c r="K6"/>
      <c r="L6"/>
      <c r="M6"/>
      <c r="N6"/>
      <c r="O6"/>
    </row>
    <row r="7" spans="1:15" ht="27.6">
      <c r="B7" s="128" t="s">
        <v>195</v>
      </c>
      <c r="C7" s="128" t="s">
        <v>196</v>
      </c>
      <c r="D7" s="128" t="s">
        <v>94</v>
      </c>
      <c r="E7" s="128" t="s">
        <v>197</v>
      </c>
      <c r="F7" s="129" t="s">
        <v>65</v>
      </c>
      <c r="G7" s="128" t="s">
        <v>66</v>
      </c>
      <c r="H7" s="128" t="s">
        <v>198</v>
      </c>
      <c r="I7"/>
      <c r="J7"/>
      <c r="K7"/>
      <c r="L7"/>
      <c r="M7"/>
      <c r="N7"/>
      <c r="O7"/>
    </row>
    <row r="8" spans="1:15" ht="29.25" customHeight="1" thickBot="1">
      <c r="B8" s="130">
        <v>1</v>
      </c>
      <c r="C8" s="131" t="s">
        <v>17</v>
      </c>
      <c r="D8" s="132">
        <v>45915</v>
      </c>
      <c r="E8" s="132">
        <v>46012</v>
      </c>
      <c r="F8" s="133"/>
      <c r="G8" s="133"/>
      <c r="H8" s="134" t="s">
        <v>199</v>
      </c>
      <c r="I8"/>
      <c r="J8"/>
      <c r="K8"/>
      <c r="L8"/>
      <c r="M8"/>
      <c r="N8"/>
      <c r="O8"/>
    </row>
    <row r="9" spans="1:15" ht="28.8" customHeight="1" thickBot="1">
      <c r="B9" s="135">
        <v>2</v>
      </c>
      <c r="C9" s="136" t="s">
        <v>200</v>
      </c>
      <c r="D9" s="137">
        <v>45915</v>
      </c>
      <c r="E9" s="137">
        <v>45928</v>
      </c>
      <c r="F9" s="138"/>
      <c r="G9" s="138"/>
      <c r="H9" s="139" t="s">
        <v>201</v>
      </c>
      <c r="I9"/>
      <c r="J9"/>
      <c r="K9"/>
      <c r="L9"/>
      <c r="M9"/>
      <c r="N9"/>
      <c r="O9"/>
    </row>
    <row r="10" spans="1:15" ht="28.8" customHeight="1" thickBot="1">
      <c r="B10" s="140">
        <v>3</v>
      </c>
      <c r="C10" s="141" t="s">
        <v>202</v>
      </c>
      <c r="D10" s="142">
        <v>45915</v>
      </c>
      <c r="E10" s="142">
        <v>45921</v>
      </c>
      <c r="F10" s="143" t="s">
        <v>203</v>
      </c>
      <c r="G10" s="141" t="s">
        <v>204</v>
      </c>
      <c r="H10" s="143" t="s">
        <v>205</v>
      </c>
      <c r="I10"/>
      <c r="J10"/>
      <c r="K10"/>
      <c r="L10"/>
      <c r="M10"/>
      <c r="N10"/>
      <c r="O10"/>
    </row>
    <row r="11" spans="1:15" ht="28.8" customHeight="1" thickBot="1">
      <c r="B11" s="140">
        <v>4</v>
      </c>
      <c r="C11" s="141" t="s">
        <v>206</v>
      </c>
      <c r="D11" s="142">
        <v>45924</v>
      </c>
      <c r="E11" s="142">
        <v>45928</v>
      </c>
      <c r="F11" s="143">
        <v>3</v>
      </c>
      <c r="G11" s="141" t="s">
        <v>207</v>
      </c>
      <c r="H11" s="143" t="s">
        <v>208</v>
      </c>
      <c r="I11"/>
      <c r="J11"/>
      <c r="K11"/>
      <c r="L11"/>
      <c r="M11"/>
      <c r="N11"/>
      <c r="O11"/>
    </row>
    <row r="12" spans="1:15" ht="28.8" customHeight="1" thickBot="1">
      <c r="B12" s="144">
        <v>5</v>
      </c>
      <c r="C12" s="145" t="s">
        <v>209</v>
      </c>
      <c r="D12" s="146">
        <v>45945</v>
      </c>
      <c r="E12" s="146">
        <v>45956</v>
      </c>
      <c r="F12" s="147"/>
      <c r="G12" s="148"/>
      <c r="H12" s="149" t="s">
        <v>210</v>
      </c>
      <c r="I12"/>
      <c r="J12"/>
      <c r="K12"/>
      <c r="L12"/>
      <c r="M12"/>
      <c r="N12"/>
      <c r="O12"/>
    </row>
    <row r="13" spans="1:15" ht="28.8" customHeight="1" thickBot="1">
      <c r="B13" s="140">
        <v>6</v>
      </c>
      <c r="C13" s="141" t="s">
        <v>211</v>
      </c>
      <c r="D13" s="142">
        <v>45945</v>
      </c>
      <c r="E13" s="142">
        <v>45945</v>
      </c>
      <c r="F13" s="143" t="s">
        <v>203</v>
      </c>
      <c r="G13" s="141" t="s">
        <v>212</v>
      </c>
      <c r="H13" s="143" t="s">
        <v>213</v>
      </c>
      <c r="I13"/>
      <c r="J13"/>
      <c r="K13"/>
      <c r="L13"/>
      <c r="M13"/>
      <c r="N13"/>
      <c r="O13"/>
    </row>
    <row r="14" spans="1:15" ht="28.8" customHeight="1" thickBot="1">
      <c r="B14" s="140">
        <v>7</v>
      </c>
      <c r="C14" s="141" t="s">
        <v>214</v>
      </c>
      <c r="D14" s="142">
        <v>45946</v>
      </c>
      <c r="E14" s="142">
        <v>45947</v>
      </c>
      <c r="F14" s="143">
        <v>6</v>
      </c>
      <c r="G14" s="141" t="s">
        <v>212</v>
      </c>
      <c r="H14" s="143" t="s">
        <v>208</v>
      </c>
      <c r="I14"/>
      <c r="J14"/>
      <c r="K14"/>
      <c r="L14"/>
      <c r="M14"/>
      <c r="N14"/>
      <c r="O14"/>
    </row>
    <row r="15" spans="1:15" ht="28.8" customHeight="1" thickBot="1">
      <c r="B15" s="140">
        <v>8</v>
      </c>
      <c r="C15" s="141" t="s">
        <v>215</v>
      </c>
      <c r="D15" s="142">
        <v>45948</v>
      </c>
      <c r="E15" s="142">
        <v>45951</v>
      </c>
      <c r="F15" s="143">
        <v>7</v>
      </c>
      <c r="G15" s="141" t="s">
        <v>212</v>
      </c>
      <c r="H15" s="143" t="s">
        <v>208</v>
      </c>
      <c r="I15"/>
      <c r="J15"/>
      <c r="K15"/>
      <c r="L15"/>
      <c r="M15"/>
      <c r="N15"/>
      <c r="O15"/>
    </row>
    <row r="16" spans="1:15" ht="28.8" customHeight="1" thickBot="1">
      <c r="B16" s="140">
        <v>9</v>
      </c>
      <c r="C16" s="141" t="s">
        <v>216</v>
      </c>
      <c r="D16" s="142">
        <v>45952</v>
      </c>
      <c r="E16" s="142">
        <v>45954</v>
      </c>
      <c r="F16" s="143">
        <v>7</v>
      </c>
      <c r="G16" s="141" t="s">
        <v>212</v>
      </c>
      <c r="H16" s="143" t="s">
        <v>205</v>
      </c>
      <c r="I16"/>
      <c r="J16"/>
      <c r="K16"/>
      <c r="L16"/>
      <c r="M16"/>
      <c r="N16"/>
      <c r="O16"/>
    </row>
    <row r="17" spans="2:15" ht="28.8" customHeight="1" thickBot="1">
      <c r="B17" s="140">
        <v>10</v>
      </c>
      <c r="C17" s="141" t="s">
        <v>217</v>
      </c>
      <c r="D17" s="142">
        <v>45955</v>
      </c>
      <c r="E17" s="142">
        <v>45955</v>
      </c>
      <c r="F17" s="143" t="s">
        <v>218</v>
      </c>
      <c r="G17" s="141" t="s">
        <v>219</v>
      </c>
      <c r="H17" s="143" t="s">
        <v>220</v>
      </c>
      <c r="I17"/>
      <c r="J17"/>
      <c r="K17"/>
      <c r="L17"/>
      <c r="M17"/>
      <c r="N17"/>
      <c r="O17"/>
    </row>
    <row r="18" spans="2:15" ht="28.8" customHeight="1" thickBot="1">
      <c r="B18" s="140">
        <v>11</v>
      </c>
      <c r="C18" s="141" t="s">
        <v>221</v>
      </c>
      <c r="D18" s="142">
        <v>45956</v>
      </c>
      <c r="E18" s="142">
        <v>45956</v>
      </c>
      <c r="F18" s="143" t="s">
        <v>222</v>
      </c>
      <c r="G18" s="141" t="s">
        <v>223</v>
      </c>
      <c r="H18" s="143" t="s">
        <v>220</v>
      </c>
      <c r="I18"/>
      <c r="J18"/>
      <c r="K18"/>
      <c r="L18"/>
      <c r="M18"/>
      <c r="N18"/>
      <c r="O18"/>
    </row>
    <row r="19" spans="2:15" ht="28.8" customHeight="1" thickBot="1">
      <c r="B19" s="140">
        <v>12</v>
      </c>
      <c r="C19" s="141" t="s">
        <v>224</v>
      </c>
      <c r="D19" s="142">
        <v>45956</v>
      </c>
      <c r="E19" s="142">
        <v>45956</v>
      </c>
      <c r="F19" s="143" t="s">
        <v>225</v>
      </c>
      <c r="G19" s="141" t="s">
        <v>212</v>
      </c>
      <c r="H19" s="143" t="s">
        <v>226</v>
      </c>
      <c r="I19"/>
      <c r="J19"/>
      <c r="K19"/>
      <c r="L19"/>
      <c r="M19"/>
      <c r="N19"/>
      <c r="O19"/>
    </row>
    <row r="20" spans="2:15" ht="28.8" customHeight="1" thickBot="1">
      <c r="B20" s="144">
        <v>13</v>
      </c>
      <c r="C20" s="145" t="s">
        <v>227</v>
      </c>
      <c r="D20" s="146">
        <v>45976</v>
      </c>
      <c r="E20" s="146">
        <v>45984</v>
      </c>
      <c r="F20" s="147"/>
      <c r="G20" s="148"/>
      <c r="H20" s="149" t="s">
        <v>228</v>
      </c>
      <c r="I20"/>
      <c r="J20"/>
      <c r="K20"/>
      <c r="L20"/>
      <c r="M20"/>
      <c r="N20"/>
      <c r="O20"/>
    </row>
    <row r="21" spans="2:15" ht="28.8" customHeight="1" thickBot="1">
      <c r="B21" s="140">
        <v>14</v>
      </c>
      <c r="C21" s="141" t="s">
        <v>229</v>
      </c>
      <c r="D21" s="142">
        <v>45976</v>
      </c>
      <c r="E21" s="142">
        <v>45977</v>
      </c>
      <c r="F21" s="143">
        <v>7</v>
      </c>
      <c r="G21" s="141" t="s">
        <v>212</v>
      </c>
      <c r="H21" s="143" t="s">
        <v>205</v>
      </c>
      <c r="I21"/>
      <c r="J21"/>
      <c r="K21"/>
      <c r="L21"/>
      <c r="M21"/>
      <c r="N21"/>
      <c r="O21"/>
    </row>
    <row r="22" spans="2:15" ht="28.8" customHeight="1" thickBot="1">
      <c r="B22" s="140">
        <v>15</v>
      </c>
      <c r="C22" s="141" t="s">
        <v>230</v>
      </c>
      <c r="D22" s="142">
        <v>45977</v>
      </c>
      <c r="E22" s="142">
        <v>45979</v>
      </c>
      <c r="F22" s="143" t="s">
        <v>231</v>
      </c>
      <c r="G22" s="141" t="s">
        <v>212</v>
      </c>
      <c r="H22" s="143" t="s">
        <v>232</v>
      </c>
      <c r="I22"/>
      <c r="J22"/>
      <c r="K22"/>
      <c r="L22"/>
      <c r="M22"/>
      <c r="N22"/>
      <c r="O22"/>
    </row>
    <row r="23" spans="2:15" ht="28.8" customHeight="1" thickBot="1">
      <c r="B23" s="140">
        <v>16</v>
      </c>
      <c r="C23" s="141" t="s">
        <v>233</v>
      </c>
      <c r="D23" s="142">
        <v>45980</v>
      </c>
      <c r="E23" s="142">
        <v>45981</v>
      </c>
      <c r="F23" s="143" t="s">
        <v>234</v>
      </c>
      <c r="G23" s="141" t="s">
        <v>212</v>
      </c>
      <c r="H23" s="143" t="s">
        <v>208</v>
      </c>
      <c r="I23"/>
      <c r="J23"/>
      <c r="K23"/>
      <c r="L23"/>
      <c r="M23"/>
      <c r="N23"/>
      <c r="O23"/>
    </row>
    <row r="24" spans="2:15" ht="28.8" customHeight="1" thickBot="1">
      <c r="B24" s="140">
        <v>17</v>
      </c>
      <c r="C24" s="141" t="s">
        <v>235</v>
      </c>
      <c r="D24" s="142">
        <v>45982</v>
      </c>
      <c r="E24" s="142">
        <v>45982</v>
      </c>
      <c r="F24" s="143" t="s">
        <v>236</v>
      </c>
      <c r="G24" s="141" t="s">
        <v>223</v>
      </c>
      <c r="H24" s="143" t="s">
        <v>220</v>
      </c>
      <c r="I24"/>
      <c r="J24"/>
      <c r="K24"/>
      <c r="L24"/>
      <c r="M24"/>
      <c r="N24"/>
      <c r="O24"/>
    </row>
    <row r="25" spans="2:15" ht="28.8" customHeight="1" thickBot="1">
      <c r="B25" s="140">
        <v>18</v>
      </c>
      <c r="C25" s="141" t="s">
        <v>237</v>
      </c>
      <c r="D25" s="142">
        <v>45983</v>
      </c>
      <c r="E25" s="142">
        <v>45983</v>
      </c>
      <c r="F25" s="143" t="s">
        <v>238</v>
      </c>
      <c r="G25" s="141" t="s">
        <v>212</v>
      </c>
      <c r="H25" s="143" t="s">
        <v>220</v>
      </c>
      <c r="I25"/>
      <c r="J25"/>
      <c r="K25"/>
      <c r="L25"/>
      <c r="M25"/>
      <c r="N25"/>
      <c r="O25"/>
    </row>
    <row r="26" spans="2:15" ht="28.8" customHeight="1" thickBot="1">
      <c r="B26" s="144">
        <v>19</v>
      </c>
      <c r="C26" s="145" t="s">
        <v>239</v>
      </c>
      <c r="D26" s="146">
        <v>46001</v>
      </c>
      <c r="E26" s="146">
        <v>46012</v>
      </c>
      <c r="F26" s="147"/>
      <c r="G26" s="148"/>
      <c r="H26" s="149" t="s">
        <v>240</v>
      </c>
      <c r="I26"/>
      <c r="J26"/>
      <c r="K26"/>
      <c r="L26"/>
      <c r="M26"/>
      <c r="N26"/>
      <c r="O26"/>
    </row>
    <row r="27" spans="2:15" ht="28.8" customHeight="1" thickBot="1">
      <c r="B27" s="140">
        <v>20</v>
      </c>
      <c r="C27" s="141" t="s">
        <v>241</v>
      </c>
      <c r="D27" s="142">
        <v>46001</v>
      </c>
      <c r="E27" s="142">
        <v>45941</v>
      </c>
      <c r="F27" s="143" t="s">
        <v>242</v>
      </c>
      <c r="G27" s="141" t="s">
        <v>212</v>
      </c>
      <c r="H27" s="143" t="s">
        <v>205</v>
      </c>
      <c r="I27"/>
      <c r="J27"/>
      <c r="K27"/>
      <c r="L27"/>
      <c r="M27"/>
      <c r="N27"/>
      <c r="O27"/>
    </row>
    <row r="28" spans="2:15" ht="28.8" customHeight="1">
      <c r="B28" s="251">
        <v>21</v>
      </c>
      <c r="C28" s="253" t="s">
        <v>243</v>
      </c>
      <c r="D28" s="255">
        <v>46003</v>
      </c>
      <c r="E28" s="255">
        <v>45943</v>
      </c>
      <c r="F28" s="150" t="s">
        <v>244</v>
      </c>
      <c r="G28" s="253" t="s">
        <v>212</v>
      </c>
      <c r="H28" s="251" t="s">
        <v>205</v>
      </c>
      <c r="I28"/>
      <c r="J28"/>
      <c r="K28"/>
      <c r="L28"/>
      <c r="M28"/>
      <c r="N28"/>
      <c r="O28"/>
    </row>
    <row r="29" spans="2:15" ht="28.8" customHeight="1" thickBot="1">
      <c r="B29" s="252"/>
      <c r="C29" s="254"/>
      <c r="D29" s="256"/>
      <c r="E29" s="256"/>
      <c r="F29" s="143" t="s">
        <v>245</v>
      </c>
      <c r="G29" s="254"/>
      <c r="H29" s="252"/>
      <c r="I29"/>
      <c r="J29"/>
      <c r="K29"/>
      <c r="L29"/>
      <c r="M29"/>
      <c r="N29"/>
      <c r="O29"/>
    </row>
    <row r="30" spans="2:15" ht="28.8" customHeight="1" thickBot="1">
      <c r="B30" s="140">
        <v>22</v>
      </c>
      <c r="C30" s="141" t="s">
        <v>246</v>
      </c>
      <c r="D30" s="142">
        <v>46003</v>
      </c>
      <c r="E30" s="142">
        <v>45943</v>
      </c>
      <c r="F30" s="143" t="s">
        <v>203</v>
      </c>
      <c r="G30" s="141" t="s">
        <v>212</v>
      </c>
      <c r="H30" s="143" t="s">
        <v>232</v>
      </c>
      <c r="I30"/>
      <c r="J30"/>
      <c r="K30"/>
      <c r="L30"/>
      <c r="M30"/>
      <c r="N30"/>
      <c r="O30"/>
    </row>
    <row r="31" spans="2:15" ht="28.8" customHeight="1" thickBot="1">
      <c r="B31" s="140">
        <v>23</v>
      </c>
      <c r="C31" s="141" t="s">
        <v>247</v>
      </c>
      <c r="D31" s="142">
        <v>46006</v>
      </c>
      <c r="E31" s="142">
        <v>45946</v>
      </c>
      <c r="F31" s="143" t="s">
        <v>203</v>
      </c>
      <c r="G31" s="141" t="s">
        <v>212</v>
      </c>
      <c r="H31" s="143" t="s">
        <v>205</v>
      </c>
      <c r="I31"/>
      <c r="J31"/>
      <c r="K31"/>
      <c r="L31"/>
      <c r="M31"/>
      <c r="N31"/>
      <c r="O31"/>
    </row>
    <row r="32" spans="2:15" ht="28.8" customHeight="1" thickBot="1">
      <c r="B32" s="140">
        <v>24</v>
      </c>
      <c r="C32" s="141" t="s">
        <v>248</v>
      </c>
      <c r="D32" s="142">
        <v>46009</v>
      </c>
      <c r="E32" s="142">
        <v>45950</v>
      </c>
      <c r="F32" s="143" t="s">
        <v>249</v>
      </c>
      <c r="G32" s="141" t="s">
        <v>212</v>
      </c>
      <c r="H32" s="143" t="s">
        <v>205</v>
      </c>
      <c r="I32"/>
      <c r="J32"/>
      <c r="K32"/>
      <c r="L32"/>
      <c r="M32"/>
      <c r="N32"/>
      <c r="O32"/>
    </row>
    <row r="33" spans="2:15">
      <c r="B33"/>
      <c r="C33"/>
      <c r="D33"/>
      <c r="E33"/>
      <c r="F33"/>
      <c r="G33"/>
      <c r="H33"/>
      <c r="I33"/>
      <c r="J33"/>
      <c r="K33"/>
      <c r="L33"/>
      <c r="M33"/>
      <c r="N33"/>
      <c r="O33"/>
    </row>
    <row r="34" spans="2:15">
      <c r="B34"/>
      <c r="C34"/>
      <c r="D34"/>
      <c r="E34"/>
      <c r="F34"/>
      <c r="G34"/>
      <c r="H34"/>
      <c r="I34"/>
      <c r="J34"/>
      <c r="K34"/>
      <c r="L34"/>
      <c r="M34"/>
      <c r="N34"/>
      <c r="O34"/>
    </row>
    <row r="35" spans="2:15">
      <c r="B35"/>
      <c r="C35"/>
      <c r="D35"/>
      <c r="E35"/>
      <c r="F35"/>
      <c r="G35"/>
      <c r="H35"/>
      <c r="I35"/>
      <c r="J35"/>
      <c r="K35"/>
      <c r="L35"/>
      <c r="M35"/>
      <c r="N35"/>
      <c r="O35"/>
    </row>
  </sheetData>
  <sheetProtection selectLockedCells="1" selectUnlockedCells="1"/>
  <mergeCells count="9">
    <mergeCell ref="K1:M1"/>
    <mergeCell ref="K2:M2"/>
    <mergeCell ref="K3:M3"/>
    <mergeCell ref="B28:B29"/>
    <mergeCell ref="C28:C29"/>
    <mergeCell ref="D28:D29"/>
    <mergeCell ref="E28:E29"/>
    <mergeCell ref="G28:G29"/>
    <mergeCell ref="H28:H29"/>
  </mergeCells>
  <pageMargins left="0.23622047244094491" right="0.23622047244094491" top="0.23622047244094491" bottom="0.23622047244094491" header="0" footer="0"/>
  <pageSetup paperSize="9" scale="83" firstPageNumber="0" orientation="landscape"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2">
    <outlinePr summaryBelow="0" summaryRight="0"/>
    <pageSetUpPr fitToPage="1"/>
  </sheetPr>
  <dimension ref="A1:K82"/>
  <sheetViews>
    <sheetView showGridLines="0" topLeftCell="A47" zoomScale="80" zoomScaleNormal="80" zoomScalePageLayoutView="60" workbookViewId="0">
      <selection activeCell="B57" sqref="B57"/>
    </sheetView>
  </sheetViews>
  <sheetFormatPr baseColWidth="10" defaultColWidth="11.44140625" defaultRowHeight="13.2" outlineLevelRow="1"/>
  <cols>
    <col min="1" max="1" width="88.6640625" style="20" customWidth="1"/>
    <col min="2" max="2" width="85.33203125" style="20" customWidth="1"/>
    <col min="3" max="3" width="1.6640625" style="20" customWidth="1"/>
    <col min="4" max="4" width="4.6640625" style="20" customWidth="1"/>
    <col min="5" max="16384" width="11.44140625" style="20"/>
  </cols>
  <sheetData>
    <row r="1" spans="1:11" ht="17.399999999999999">
      <c r="A1" s="100"/>
      <c r="B1" s="101" t="str">
        <f>'1a-Identification Projet'!$L$1</f>
        <v>reference Tableau de bord</v>
      </c>
      <c r="C1" s="21"/>
      <c r="D1" s="21"/>
      <c r="E1" s="21"/>
      <c r="F1" s="21"/>
      <c r="G1" s="21"/>
      <c r="H1" s="21"/>
      <c r="I1" s="21"/>
      <c r="J1" s="21"/>
      <c r="K1" s="21"/>
    </row>
    <row r="2" spans="1:11" ht="12.75" customHeight="1">
      <c r="A2" s="102"/>
      <c r="B2" s="103">
        <f>'1a-Identification Projet'!$L$2</f>
        <v>45912</v>
      </c>
      <c r="C2" s="21"/>
      <c r="D2" s="21"/>
      <c r="E2" s="21"/>
      <c r="F2" s="21"/>
      <c r="G2" s="21"/>
      <c r="H2" s="21"/>
      <c r="I2" s="21"/>
      <c r="J2" s="21"/>
      <c r="K2" s="21"/>
    </row>
    <row r="3" spans="1:11" ht="12.75" customHeight="1" thickBot="1">
      <c r="A3" s="104"/>
      <c r="B3" s="105" t="str">
        <f>'1a-Identification Projet'!$L$3</f>
        <v>Organisation</v>
      </c>
      <c r="C3" s="21"/>
      <c r="D3" s="21"/>
      <c r="E3" s="21"/>
      <c r="F3" s="21"/>
      <c r="G3" s="21"/>
      <c r="H3" s="21"/>
      <c r="I3" s="21"/>
      <c r="J3" s="21"/>
      <c r="K3" s="21"/>
    </row>
    <row r="4" spans="1:11" ht="12.75" customHeight="1">
      <c r="C4" s="21"/>
      <c r="D4" s="21"/>
      <c r="E4" s="21"/>
      <c r="F4" s="21"/>
      <c r="G4" s="21"/>
      <c r="H4" s="21"/>
      <c r="I4" s="21"/>
      <c r="J4" s="21"/>
      <c r="K4" s="21"/>
    </row>
    <row r="5" spans="1:11">
      <c r="A5"/>
      <c r="B5"/>
    </row>
    <row r="6" spans="1:11" ht="18" thickBot="1">
      <c r="A6" s="47" t="s">
        <v>252</v>
      </c>
      <c r="B6" s="48"/>
    </row>
    <row r="7" spans="1:11" ht="24" customHeight="1" outlineLevel="1" thickBot="1">
      <c r="A7" s="169" t="s">
        <v>4</v>
      </c>
      <c r="B7" s="170" t="s">
        <v>5</v>
      </c>
    </row>
    <row r="8" spans="1:11" ht="31.2" outlineLevel="1">
      <c r="A8" s="107" t="s">
        <v>286</v>
      </c>
      <c r="B8" s="107" t="s">
        <v>287</v>
      </c>
    </row>
    <row r="9" spans="1:11" ht="15.6" outlineLevel="1">
      <c r="A9" s="107"/>
      <c r="B9" s="107"/>
    </row>
    <row r="10" spans="1:11" ht="15.6" outlineLevel="1">
      <c r="A10" s="107"/>
      <c r="B10" s="107"/>
    </row>
    <row r="11" spans="1:11" ht="15" outlineLevel="1">
      <c r="A11" s="32"/>
      <c r="B11" s="34"/>
    </row>
    <row r="12" spans="1:11" ht="15" outlineLevel="1">
      <c r="A12" s="33"/>
      <c r="B12" s="35"/>
    </row>
    <row r="13" spans="1:11" ht="18" thickBot="1">
      <c r="A13" s="47" t="s">
        <v>253</v>
      </c>
      <c r="B13" s="48"/>
    </row>
    <row r="14" spans="1:11" ht="24" customHeight="1" outlineLevel="1" thickBot="1">
      <c r="A14" s="169" t="s">
        <v>4</v>
      </c>
      <c r="B14" s="170" t="s">
        <v>5</v>
      </c>
    </row>
    <row r="15" spans="1:11" ht="31.2" outlineLevel="1">
      <c r="A15" s="107" t="s">
        <v>288</v>
      </c>
      <c r="B15" s="107"/>
    </row>
    <row r="16" spans="1:11" ht="15.6" outlineLevel="1">
      <c r="A16" s="107"/>
      <c r="B16" s="107"/>
    </row>
    <row r="17" spans="1:2" ht="15.6" outlineLevel="1">
      <c r="A17" s="107"/>
      <c r="B17" s="107"/>
    </row>
    <row r="18" spans="1:2" ht="15" outlineLevel="1">
      <c r="A18" s="32"/>
      <c r="B18" s="34"/>
    </row>
    <row r="19" spans="1:2" ht="15" outlineLevel="1">
      <c r="A19" s="33"/>
      <c r="B19" s="35"/>
    </row>
    <row r="20" spans="1:2" ht="18" thickBot="1">
      <c r="A20" s="47" t="s">
        <v>254</v>
      </c>
      <c r="B20" s="48"/>
    </row>
    <row r="21" spans="1:2" ht="16.2" thickBot="1">
      <c r="A21" s="169" t="s">
        <v>4</v>
      </c>
      <c r="B21" s="170" t="s">
        <v>5</v>
      </c>
    </row>
    <row r="22" spans="1:2" ht="46.8">
      <c r="A22" s="107" t="s">
        <v>289</v>
      </c>
      <c r="B22" s="107" t="s">
        <v>290</v>
      </c>
    </row>
    <row r="23" spans="1:2" ht="15.6">
      <c r="A23" s="107"/>
      <c r="B23" s="107"/>
    </row>
    <row r="24" spans="1:2" ht="15.6">
      <c r="A24" s="107"/>
      <c r="B24" s="107"/>
    </row>
    <row r="25" spans="1:2" ht="15">
      <c r="A25" s="32"/>
      <c r="B25" s="34"/>
    </row>
    <row r="26" spans="1:2" ht="15">
      <c r="A26" s="33"/>
      <c r="B26" s="35"/>
    </row>
    <row r="27" spans="1:2" ht="18" thickBot="1">
      <c r="A27" s="47" t="s">
        <v>255</v>
      </c>
      <c r="B27" s="48"/>
    </row>
    <row r="28" spans="1:2" ht="16.2" thickBot="1">
      <c r="A28" s="169" t="s">
        <v>4</v>
      </c>
      <c r="B28" s="171" t="s">
        <v>5</v>
      </c>
    </row>
    <row r="29" spans="1:2" ht="31.2">
      <c r="A29" s="107" t="s">
        <v>291</v>
      </c>
      <c r="B29" s="107" t="s">
        <v>292</v>
      </c>
    </row>
    <row r="30" spans="1:2" ht="15.6">
      <c r="A30" s="107"/>
      <c r="B30" s="107" t="s">
        <v>293</v>
      </c>
    </row>
    <row r="31" spans="1:2" ht="15.6">
      <c r="A31" s="107"/>
      <c r="B31" s="107"/>
    </row>
    <row r="32" spans="1:2" ht="15">
      <c r="A32" s="32"/>
      <c r="B32" s="34"/>
    </row>
    <row r="33" spans="1:2" ht="15">
      <c r="A33" s="33"/>
      <c r="B33" s="35"/>
    </row>
    <row r="34" spans="1:2" ht="18" thickBot="1">
      <c r="A34" s="47" t="s">
        <v>256</v>
      </c>
      <c r="B34" s="48"/>
    </row>
    <row r="35" spans="1:2" ht="16.2" thickBot="1">
      <c r="A35" s="169" t="s">
        <v>4</v>
      </c>
      <c r="B35" s="171" t="s">
        <v>5</v>
      </c>
    </row>
    <row r="36" spans="1:2" ht="31.2">
      <c r="A36" s="107" t="s">
        <v>294</v>
      </c>
      <c r="B36" s="107" t="s">
        <v>295</v>
      </c>
    </row>
    <row r="37" spans="1:2" ht="15.6">
      <c r="A37" s="107"/>
      <c r="B37" s="107"/>
    </row>
    <row r="38" spans="1:2" ht="15.6">
      <c r="A38" s="107"/>
      <c r="B38" s="107"/>
    </row>
    <row r="39" spans="1:2" ht="15">
      <c r="A39" s="32"/>
      <c r="B39" s="34"/>
    </row>
    <row r="40" spans="1:2" ht="15">
      <c r="A40" s="33"/>
      <c r="B40" s="35"/>
    </row>
    <row r="41" spans="1:2" ht="18" thickBot="1">
      <c r="A41" s="47" t="s">
        <v>257</v>
      </c>
      <c r="B41" s="48"/>
    </row>
    <row r="42" spans="1:2" ht="16.2" thickBot="1">
      <c r="A42" s="169" t="s">
        <v>4</v>
      </c>
      <c r="B42" s="171" t="s">
        <v>5</v>
      </c>
    </row>
    <row r="43" spans="1:2" ht="31.2">
      <c r="A43" s="107"/>
      <c r="B43" s="107" t="s">
        <v>296</v>
      </c>
    </row>
    <row r="44" spans="1:2" ht="15.6">
      <c r="A44" s="107"/>
      <c r="B44" s="107"/>
    </row>
    <row r="45" spans="1:2" ht="15.6">
      <c r="A45" s="107"/>
      <c r="B45" s="107"/>
    </row>
    <row r="46" spans="1:2" ht="15">
      <c r="A46" s="32"/>
      <c r="B46" s="34"/>
    </row>
    <row r="47" spans="1:2" ht="15">
      <c r="A47" s="33"/>
      <c r="B47" s="35"/>
    </row>
    <row r="48" spans="1:2" ht="18" thickBot="1">
      <c r="A48" s="47" t="s">
        <v>258</v>
      </c>
      <c r="B48" s="48"/>
    </row>
    <row r="49" spans="1:2" ht="16.2" thickBot="1">
      <c r="A49" s="169" t="s">
        <v>4</v>
      </c>
      <c r="B49" s="171" t="s">
        <v>5</v>
      </c>
    </row>
    <row r="50" spans="1:2" ht="31.2">
      <c r="A50" s="107" t="s">
        <v>297</v>
      </c>
      <c r="B50" s="107"/>
    </row>
    <row r="51" spans="1:2" ht="15.6">
      <c r="A51" s="107" t="s">
        <v>298</v>
      </c>
      <c r="B51" s="107"/>
    </row>
    <row r="52" spans="1:2" ht="15.6">
      <c r="A52" s="107"/>
      <c r="B52" s="107"/>
    </row>
    <row r="53" spans="1:2" ht="15">
      <c r="A53" s="32"/>
      <c r="B53" s="34"/>
    </row>
    <row r="54" spans="1:2" ht="15">
      <c r="A54" s="33"/>
      <c r="B54" s="35"/>
    </row>
    <row r="55" spans="1:2" ht="18" thickBot="1">
      <c r="A55" s="47" t="s">
        <v>259</v>
      </c>
      <c r="B55" s="48"/>
    </row>
    <row r="56" spans="1:2" ht="16.2" thickBot="1">
      <c r="A56" s="169" t="s">
        <v>4</v>
      </c>
      <c r="B56" s="171" t="s">
        <v>5</v>
      </c>
    </row>
    <row r="57" spans="1:2" ht="31.2">
      <c r="A57" s="107"/>
      <c r="B57" s="107" t="s">
        <v>299</v>
      </c>
    </row>
    <row r="58" spans="1:2" ht="15.6">
      <c r="A58" s="107"/>
      <c r="B58" s="107"/>
    </row>
    <row r="59" spans="1:2" ht="15.6">
      <c r="A59" s="107"/>
      <c r="B59" s="107"/>
    </row>
    <row r="60" spans="1:2" ht="15">
      <c r="A60" s="32"/>
      <c r="B60" s="34"/>
    </row>
    <row r="61" spans="1:2" ht="15">
      <c r="A61" s="33"/>
      <c r="B61" s="35"/>
    </row>
    <row r="62" spans="1:2" ht="18" thickBot="1">
      <c r="A62" s="47" t="s">
        <v>260</v>
      </c>
      <c r="B62" s="48"/>
    </row>
    <row r="63" spans="1:2" ht="16.2" thickBot="1">
      <c r="A63" s="169" t="s">
        <v>4</v>
      </c>
      <c r="B63" s="171" t="s">
        <v>5</v>
      </c>
    </row>
    <row r="64" spans="1:2" ht="15.6">
      <c r="A64" s="107"/>
      <c r="B64" s="107"/>
    </row>
    <row r="65" spans="1:2" ht="15.6">
      <c r="A65" s="107"/>
      <c r="B65" s="107"/>
    </row>
    <row r="66" spans="1:2" ht="15.6">
      <c r="A66" s="107"/>
      <c r="B66" s="107"/>
    </row>
    <row r="67" spans="1:2" ht="15">
      <c r="A67" s="32"/>
      <c r="B67" s="34"/>
    </row>
    <row r="68" spans="1:2" ht="15">
      <c r="A68" s="33"/>
      <c r="B68" s="35"/>
    </row>
    <row r="69" spans="1:2" ht="18" thickBot="1">
      <c r="A69" s="47" t="s">
        <v>261</v>
      </c>
      <c r="B69" s="48"/>
    </row>
    <row r="70" spans="1:2" ht="16.2" thickBot="1">
      <c r="A70" s="169" t="s">
        <v>4</v>
      </c>
      <c r="B70" s="171" t="s">
        <v>5</v>
      </c>
    </row>
    <row r="71" spans="1:2" ht="15.6">
      <c r="A71" s="107"/>
      <c r="B71" s="107"/>
    </row>
    <row r="72" spans="1:2" ht="15.6">
      <c r="A72" s="107"/>
      <c r="B72" s="107"/>
    </row>
    <row r="73" spans="1:2" ht="15.6">
      <c r="A73" s="107"/>
      <c r="B73" s="107"/>
    </row>
    <row r="74" spans="1:2" ht="15">
      <c r="A74" s="32"/>
      <c r="B74" s="34"/>
    </row>
    <row r="75" spans="1:2" ht="15">
      <c r="A75" s="33"/>
      <c r="B75" s="35"/>
    </row>
    <row r="76" spans="1:2" ht="18" thickBot="1">
      <c r="A76" s="47" t="s">
        <v>262</v>
      </c>
      <c r="B76" s="48"/>
    </row>
    <row r="77" spans="1:2" ht="16.2" thickBot="1">
      <c r="A77" s="169" t="s">
        <v>4</v>
      </c>
      <c r="B77" s="171" t="s">
        <v>5</v>
      </c>
    </row>
    <row r="78" spans="1:2" ht="15.6">
      <c r="A78" s="107"/>
      <c r="B78" s="107"/>
    </row>
    <row r="79" spans="1:2" ht="15.6">
      <c r="A79" s="107"/>
      <c r="B79" s="107"/>
    </row>
    <row r="80" spans="1:2" ht="15.6">
      <c r="A80" s="107"/>
      <c r="B80" s="107"/>
    </row>
    <row r="81" spans="1:2" ht="15">
      <c r="A81" s="32"/>
      <c r="B81" s="34"/>
    </row>
    <row r="82" spans="1:2" ht="15">
      <c r="A82" s="33"/>
      <c r="B82" s="35"/>
    </row>
  </sheetData>
  <sheetProtection selectLockedCells="1" selectUnlockedCells="1"/>
  <pageMargins left="0.23622047244094491" right="0.23622047244094491" top="0.23622047244094491" bottom="0.23622047244094491" header="0" footer="0"/>
  <pageSetup paperSize="9" scale="82" firstPageNumber="0" orientation="landscape" r:id="rId1"/>
  <headerFooter alignWithMargins="0"/>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5">
    <pageSetUpPr fitToPage="1"/>
  </sheetPr>
  <dimension ref="A1:BH19"/>
  <sheetViews>
    <sheetView showGridLines="0" zoomScale="82" zoomScaleNormal="80" workbookViewId="0">
      <selection activeCell="B29" sqref="B29"/>
    </sheetView>
  </sheetViews>
  <sheetFormatPr baseColWidth="10" defaultColWidth="11.44140625" defaultRowHeight="13.2"/>
  <cols>
    <col min="1" max="1" width="7.88671875" style="3" customWidth="1"/>
    <col min="2" max="2" width="58.44140625" style="3" customWidth="1"/>
    <col min="3" max="3" width="13.5546875" style="3" customWidth="1"/>
    <col min="4" max="4" width="18" style="3" customWidth="1"/>
    <col min="5" max="5" width="11.5546875" style="4" customWidth="1"/>
    <col min="6" max="6" width="11" style="4" customWidth="1"/>
    <col min="7" max="7" width="18.88671875" style="3" customWidth="1"/>
    <col min="8" max="8" width="11.44140625" style="3"/>
    <col min="9" max="9" width="10.77734375" style="3" bestFit="1" customWidth="1"/>
    <col min="10" max="10" width="48.6640625" style="3" customWidth="1"/>
    <col min="11" max="16384" width="11.44140625" style="3"/>
  </cols>
  <sheetData>
    <row r="1" spans="1:60" ht="13.5" customHeight="1">
      <c r="A1" s="257" t="str">
        <f>"LISTE DES ACTIONS au "&amp;TEXT(I2,"jj/mm/aaaa")</f>
        <v>LISTE DES ACTIONS au 25/00/Freitag</v>
      </c>
      <c r="B1" s="258"/>
      <c r="C1" s="258"/>
      <c r="D1" s="258"/>
      <c r="E1" s="258"/>
      <c r="F1" s="258"/>
      <c r="G1" s="258"/>
      <c r="H1" s="259"/>
      <c r="I1" s="225" t="str">
        <f>'1a-Identification Projet'!$L1</f>
        <v>reference Tableau de bord</v>
      </c>
      <c r="J1" s="226"/>
    </row>
    <row r="2" spans="1:60" ht="12.75" customHeight="1">
      <c r="A2" s="260"/>
      <c r="B2" s="261"/>
      <c r="C2" s="261"/>
      <c r="D2" s="261"/>
      <c r="E2" s="261"/>
      <c r="F2" s="261"/>
      <c r="G2" s="261"/>
      <c r="H2" s="262"/>
      <c r="I2" s="227">
        <f>'1a-Identification Projet'!$L2</f>
        <v>45912</v>
      </c>
      <c r="J2" s="228"/>
    </row>
    <row r="3" spans="1:60" ht="16.5" customHeight="1" thickBot="1">
      <c r="A3" s="263"/>
      <c r="B3" s="264"/>
      <c r="C3" s="264"/>
      <c r="D3" s="264"/>
      <c r="E3" s="264"/>
      <c r="F3" s="264"/>
      <c r="G3" s="264"/>
      <c r="H3" s="265"/>
      <c r="I3" s="229" t="str">
        <f>'1a-Identification Projet'!$L3</f>
        <v>Organisation</v>
      </c>
      <c r="J3" s="230"/>
    </row>
    <row r="4" spans="1:60" ht="12.75" customHeight="1" thickBot="1">
      <c r="B4" s="26"/>
      <c r="C4" s="26"/>
      <c r="D4" s="26"/>
    </row>
    <row r="5" spans="1:60" ht="40.200000000000003" thickBot="1">
      <c r="A5" s="49" t="s">
        <v>7</v>
      </c>
      <c r="B5" s="49" t="s">
        <v>68</v>
      </c>
      <c r="C5" s="49" t="s">
        <v>8</v>
      </c>
      <c r="D5" s="49" t="s">
        <v>75</v>
      </c>
      <c r="E5" s="49" t="s">
        <v>69</v>
      </c>
      <c r="F5" s="49" t="s">
        <v>70</v>
      </c>
      <c r="G5" s="49" t="s">
        <v>71</v>
      </c>
      <c r="H5" s="49" t="s">
        <v>72</v>
      </c>
      <c r="I5" s="49" t="s">
        <v>73</v>
      </c>
      <c r="J5" s="50" t="s">
        <v>74</v>
      </c>
      <c r="K5" s="19"/>
      <c r="L5" s="19"/>
      <c r="M5" s="19"/>
      <c r="N5" s="19"/>
      <c r="O5" s="19"/>
      <c r="P5" s="19"/>
      <c r="Q5" s="19"/>
      <c r="R5" s="19"/>
      <c r="S5" s="19"/>
      <c r="T5" s="29"/>
      <c r="U5" s="29"/>
      <c r="V5" s="29"/>
      <c r="W5" s="30"/>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row>
    <row r="6" spans="1:60" s="30" customFormat="1" ht="26.4">
      <c r="A6" s="77">
        <v>1</v>
      </c>
      <c r="B6" s="78" t="s">
        <v>314</v>
      </c>
      <c r="C6" s="80" t="s">
        <v>315</v>
      </c>
      <c r="D6" s="81">
        <v>45908</v>
      </c>
      <c r="E6" s="81"/>
      <c r="F6" s="81"/>
      <c r="G6" s="81" t="s">
        <v>318</v>
      </c>
      <c r="H6" s="81">
        <v>45908</v>
      </c>
      <c r="I6" s="81">
        <v>45908</v>
      </c>
      <c r="J6" s="82" t="s">
        <v>316</v>
      </c>
      <c r="K6" s="27"/>
      <c r="L6" s="27"/>
      <c r="M6" s="27"/>
      <c r="N6" s="27"/>
      <c r="O6" s="27"/>
      <c r="P6" s="27"/>
      <c r="Q6" s="27"/>
      <c r="R6" s="27"/>
      <c r="S6" s="27"/>
      <c r="T6" s="28"/>
      <c r="U6" s="28"/>
      <c r="V6" s="28"/>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row>
    <row r="7" spans="1:60" s="23" customFormat="1" ht="15">
      <c r="A7" s="77">
        <v>2</v>
      </c>
      <c r="B7" s="78" t="s">
        <v>317</v>
      </c>
      <c r="C7" s="80" t="s">
        <v>283</v>
      </c>
      <c r="D7" s="81">
        <v>45910</v>
      </c>
      <c r="E7" s="81"/>
      <c r="F7" s="81"/>
      <c r="G7" s="80" t="s">
        <v>318</v>
      </c>
      <c r="H7" s="81">
        <v>45910</v>
      </c>
      <c r="I7" s="81">
        <v>45910</v>
      </c>
      <c r="J7" s="78"/>
      <c r="K7" s="27"/>
      <c r="L7" s="27"/>
      <c r="M7" s="27"/>
      <c r="N7" s="27"/>
      <c r="O7" s="27"/>
      <c r="P7" s="27"/>
      <c r="Q7" s="27"/>
      <c r="R7" s="27"/>
      <c r="S7" s="27"/>
      <c r="T7" s="28"/>
      <c r="U7" s="28"/>
      <c r="V7" s="28"/>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row>
    <row r="8" spans="1:60" s="23" customFormat="1" ht="15">
      <c r="A8" s="83">
        <v>3</v>
      </c>
      <c r="B8" s="84" t="s">
        <v>319</v>
      </c>
      <c r="C8" s="79" t="s">
        <v>59</v>
      </c>
      <c r="D8" s="85">
        <v>45936</v>
      </c>
      <c r="E8" s="85"/>
      <c r="F8" s="85"/>
      <c r="G8" s="79" t="s">
        <v>320</v>
      </c>
      <c r="H8" s="86">
        <v>46003</v>
      </c>
      <c r="I8" s="87"/>
      <c r="J8" s="84"/>
      <c r="K8" s="27"/>
      <c r="L8" s="27"/>
      <c r="M8" s="27"/>
      <c r="N8" s="27"/>
      <c r="O8" s="27"/>
      <c r="P8" s="27"/>
      <c r="Q8" s="27"/>
      <c r="R8" s="27"/>
      <c r="S8" s="27"/>
      <c r="T8" s="28"/>
      <c r="U8" s="28"/>
      <c r="V8" s="28"/>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row>
    <row r="9" spans="1:60" s="23" customFormat="1" ht="15">
      <c r="A9" s="77">
        <v>4</v>
      </c>
      <c r="B9" s="78" t="s">
        <v>282</v>
      </c>
      <c r="C9" s="80" t="s">
        <v>283</v>
      </c>
      <c r="D9" s="81">
        <v>45949</v>
      </c>
      <c r="E9" s="81">
        <v>45950</v>
      </c>
      <c r="F9" s="81">
        <v>45950</v>
      </c>
      <c r="G9" s="81" t="s">
        <v>318</v>
      </c>
      <c r="H9" s="81">
        <v>45950</v>
      </c>
      <c r="I9" s="81">
        <v>45950</v>
      </c>
      <c r="J9" s="82"/>
      <c r="K9" s="27"/>
      <c r="L9" s="27"/>
      <c r="M9" s="27"/>
      <c r="N9" s="27"/>
      <c r="O9" s="27"/>
      <c r="P9" s="27"/>
      <c r="Q9" s="27"/>
      <c r="R9" s="27"/>
      <c r="S9" s="27"/>
      <c r="T9" s="28"/>
      <c r="U9" s="28"/>
      <c r="V9" s="28"/>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row>
    <row r="10" spans="1:60" s="23" customFormat="1" ht="15">
      <c r="A10" s="83">
        <v>5</v>
      </c>
      <c r="B10" s="84" t="s">
        <v>321</v>
      </c>
      <c r="C10" s="79" t="s">
        <v>284</v>
      </c>
      <c r="D10" s="85">
        <v>45968</v>
      </c>
      <c r="E10" s="85"/>
      <c r="F10" s="85"/>
      <c r="G10" s="79" t="s">
        <v>318</v>
      </c>
      <c r="H10" s="85">
        <v>45970</v>
      </c>
      <c r="I10" s="85">
        <v>45970</v>
      </c>
      <c r="J10" s="84"/>
      <c r="K10" s="27"/>
      <c r="L10" s="27"/>
      <c r="M10" s="27"/>
      <c r="N10" s="27"/>
      <c r="O10" s="27"/>
      <c r="P10" s="27"/>
      <c r="Q10" s="27"/>
      <c r="R10" s="27"/>
      <c r="S10" s="27"/>
      <c r="T10" s="28"/>
      <c r="U10" s="28"/>
      <c r="V10" s="28"/>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row>
    <row r="11" spans="1:60" s="23" customFormat="1" ht="15">
      <c r="A11" s="196"/>
      <c r="B11" s="204"/>
      <c r="C11" s="198"/>
      <c r="D11" s="199"/>
      <c r="E11" s="199"/>
      <c r="F11" s="199"/>
      <c r="G11" s="198"/>
      <c r="H11" s="205"/>
      <c r="I11" s="202"/>
      <c r="J11" s="197"/>
      <c r="K11" s="27"/>
      <c r="L11" s="27"/>
      <c r="M11" s="27"/>
      <c r="N11" s="27"/>
      <c r="O11" s="27"/>
      <c r="P11" s="27"/>
      <c r="Q11" s="27"/>
      <c r="R11" s="27"/>
      <c r="S11" s="27"/>
      <c r="T11" s="28"/>
      <c r="U11" s="28"/>
      <c r="V11" s="28"/>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row>
    <row r="12" spans="1:60" s="23" customFormat="1" ht="15">
      <c r="A12" s="196"/>
      <c r="B12" s="204"/>
      <c r="C12" s="198"/>
      <c r="D12" s="199"/>
      <c r="E12" s="199"/>
      <c r="F12" s="199"/>
      <c r="G12" s="198"/>
      <c r="H12" s="201"/>
      <c r="I12" s="202"/>
      <c r="J12" s="197"/>
      <c r="K12" s="27"/>
      <c r="L12" s="27"/>
      <c r="M12" s="27"/>
      <c r="N12" s="27"/>
      <c r="O12" s="27"/>
      <c r="P12" s="27"/>
      <c r="Q12" s="27"/>
      <c r="R12" s="27"/>
      <c r="S12" s="27"/>
      <c r="T12" s="28"/>
      <c r="U12" s="28"/>
      <c r="V12" s="28"/>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row>
    <row r="13" spans="1:60" s="23" customFormat="1">
      <c r="A13" s="3"/>
      <c r="B13" s="3"/>
      <c r="C13" s="3"/>
      <c r="D13" s="3"/>
      <c r="E13" s="4"/>
      <c r="F13" s="4"/>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row>
    <row r="14" spans="1:60">
      <c r="F14" s="22"/>
    </row>
    <row r="16" spans="1:60">
      <c r="A16" s="194"/>
      <c r="B16" s="194"/>
      <c r="C16" s="194"/>
      <c r="D16" s="194"/>
      <c r="E16" s="195"/>
      <c r="F16" s="195"/>
      <c r="G16" s="194"/>
      <c r="H16" s="194"/>
      <c r="I16" s="194"/>
      <c r="J16" s="194"/>
    </row>
    <row r="17" spans="1:10">
      <c r="A17" s="194"/>
      <c r="B17" s="194"/>
      <c r="C17" s="194"/>
      <c r="D17" s="194"/>
      <c r="E17" s="195"/>
      <c r="F17" s="195"/>
      <c r="G17" s="194"/>
      <c r="H17" s="194"/>
      <c r="I17" s="194"/>
      <c r="J17" s="194"/>
    </row>
    <row r="18" spans="1:10">
      <c r="A18" s="196"/>
      <c r="B18" s="197"/>
      <c r="C18" s="198"/>
      <c r="D18" s="199"/>
      <c r="E18" s="199"/>
      <c r="F18" s="199"/>
      <c r="G18" s="199"/>
      <c r="H18" s="199"/>
      <c r="I18" s="199"/>
      <c r="J18" s="200"/>
    </row>
    <row r="19" spans="1:10">
      <c r="A19" s="196"/>
      <c r="B19" s="197"/>
      <c r="C19" s="198"/>
      <c r="D19" s="199"/>
      <c r="E19" s="199"/>
      <c r="F19" s="199"/>
      <c r="G19" s="198"/>
      <c r="H19" s="201"/>
      <c r="I19" s="202"/>
      <c r="J19" s="197"/>
    </row>
  </sheetData>
  <mergeCells count="4">
    <mergeCell ref="I1:J1"/>
    <mergeCell ref="I2:J2"/>
    <mergeCell ref="I3:J3"/>
    <mergeCell ref="A1:H3"/>
  </mergeCells>
  <conditionalFormatting sqref="A6:J10">
    <cfRule type="expression" dxfId="8" priority="1" stopIfTrue="1">
      <formula>IF($G6="Done",TRUE,FALSE)</formula>
    </cfRule>
    <cfRule type="expression" dxfId="7" priority="2" stopIfTrue="1">
      <formula>IF($G6="Cancelled",TRUE,FALSE)</formula>
    </cfRule>
    <cfRule type="expression" dxfId="6" priority="3" stopIfTrue="1">
      <formula>IF($G6="Pending",TRUE,FALSE)</formula>
    </cfRule>
  </conditionalFormatting>
  <conditionalFormatting sqref="A12:J12">
    <cfRule type="expression" dxfId="5" priority="31" stopIfTrue="1">
      <formula>IF($G12="Done",TRUE,FALSE)</formula>
    </cfRule>
    <cfRule type="expression" dxfId="4" priority="32" stopIfTrue="1">
      <formula>IF($G12="Cancelled",TRUE,FALSE)</formula>
    </cfRule>
    <cfRule type="expression" dxfId="3" priority="33" stopIfTrue="1">
      <formula>IF($G12="Pending",TRUE,FALSE)</formula>
    </cfRule>
  </conditionalFormatting>
  <conditionalFormatting sqref="A18:J19">
    <cfRule type="expression" dxfId="2" priority="4" stopIfTrue="1">
      <formula>IF($G18="Done",TRUE,FALSE)</formula>
    </cfRule>
    <cfRule type="expression" dxfId="1" priority="5" stopIfTrue="1">
      <formula>IF($G18="Cancelled",TRUE,FALSE)</formula>
    </cfRule>
    <cfRule type="expression" dxfId="0" priority="6" stopIfTrue="1">
      <formula>IF($G18="Pending",TRUE,FALSE)</formula>
    </cfRule>
  </conditionalFormatting>
  <dataValidations count="1">
    <dataValidation type="list" allowBlank="1" showInputMessage="1" showErrorMessage="1" sqref="G19 G7:G8 G10:G12" xr:uid="{00000000-0002-0000-0900-000000000000}">
      <formula1>"Pending,Cancelled,Done,In Progress"</formula1>
    </dataValidation>
  </dataValidations>
  <printOptions horizontalCentered="1"/>
  <pageMargins left="0.23622047244094491" right="0.23622047244094491" top="0.23622047244094491" bottom="0.23622047244094491" header="0" footer="0"/>
  <pageSetup paperSize="9" scale="67" orientation="landscape"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4">
    <pageSetUpPr fitToPage="1"/>
  </sheetPr>
  <dimension ref="A1:K11"/>
  <sheetViews>
    <sheetView showGridLines="0" tabSelected="1" zoomScale="80" zoomScaleNormal="80" workbookViewId="0">
      <selection activeCell="B8" sqref="B8:F8"/>
    </sheetView>
  </sheetViews>
  <sheetFormatPr baseColWidth="10" defaultColWidth="11.44140625" defaultRowHeight="13.2"/>
  <cols>
    <col min="1" max="1" width="16" style="3" customWidth="1"/>
    <col min="2" max="2" width="52" style="3" customWidth="1"/>
    <col min="3" max="3" width="10.6640625" style="3" customWidth="1"/>
    <col min="4" max="4" width="6.6640625" style="3" customWidth="1"/>
    <col min="5" max="5" width="6.33203125" style="4" customWidth="1"/>
    <col min="6" max="6" width="7.109375" style="4" customWidth="1"/>
    <col min="7" max="7" width="25.6640625" style="4" bestFit="1" customWidth="1"/>
    <col min="8" max="8" width="17.109375" style="4" customWidth="1"/>
    <col min="9" max="9" width="17.5546875" style="4" customWidth="1"/>
    <col min="10" max="10" width="26.5546875" style="3" customWidth="1"/>
    <col min="11" max="16384" width="11.44140625" style="3"/>
  </cols>
  <sheetData>
    <row r="1" spans="1:11" ht="13.5" customHeight="1">
      <c r="A1" s="271" t="str">
        <f>"LISTE DES DECISIONS au "&amp;TEXT(J2,"jj/mm/aaaa")</f>
        <v>LISTE DES DECISIONS au 25/00/Freitag</v>
      </c>
      <c r="B1" s="258"/>
      <c r="C1" s="258"/>
      <c r="D1" s="258"/>
      <c r="E1" s="258"/>
      <c r="F1" s="258"/>
      <c r="G1" s="258"/>
      <c r="H1" s="258"/>
      <c r="I1" s="259"/>
      <c r="J1" s="225" t="str">
        <f>'1a-Identification Projet'!$L1</f>
        <v>reference Tableau de bord</v>
      </c>
      <c r="K1" s="226"/>
    </row>
    <row r="2" spans="1:11" ht="12.75" customHeight="1">
      <c r="A2" s="261"/>
      <c r="B2" s="261"/>
      <c r="C2" s="261"/>
      <c r="D2" s="261"/>
      <c r="E2" s="261"/>
      <c r="F2" s="261"/>
      <c r="G2" s="261"/>
      <c r="H2" s="261"/>
      <c r="I2" s="262"/>
      <c r="J2" s="227">
        <f>'1a-Identification Projet'!$L2</f>
        <v>45912</v>
      </c>
      <c r="K2" s="228"/>
    </row>
    <row r="3" spans="1:11" ht="16.5" customHeight="1" thickBot="1">
      <c r="A3" s="264"/>
      <c r="B3" s="264"/>
      <c r="C3" s="264"/>
      <c r="D3" s="264"/>
      <c r="E3" s="264"/>
      <c r="F3" s="264"/>
      <c r="G3" s="264"/>
      <c r="H3" s="264"/>
      <c r="I3" s="265"/>
      <c r="J3" s="229" t="str">
        <f>'1a-Identification Projet'!$L3</f>
        <v>Organisation</v>
      </c>
      <c r="K3" s="230"/>
    </row>
    <row r="4" spans="1:11" ht="12.75" customHeight="1" thickBot="1">
      <c r="A4" s="26"/>
      <c r="B4" s="26"/>
      <c r="C4" s="26"/>
      <c r="D4" s="26"/>
    </row>
    <row r="5" spans="1:11" ht="26.4">
      <c r="A5" s="88" t="s">
        <v>1</v>
      </c>
      <c r="B5" s="268" t="s">
        <v>26</v>
      </c>
      <c r="C5" s="269"/>
      <c r="D5" s="269"/>
      <c r="E5" s="269"/>
      <c r="F5" s="270"/>
      <c r="G5" s="89" t="s">
        <v>20</v>
      </c>
      <c r="H5" s="89" t="s">
        <v>23</v>
      </c>
      <c r="I5" s="89" t="s">
        <v>24</v>
      </c>
      <c r="J5" s="88" t="s">
        <v>25</v>
      </c>
      <c r="K5" s="88" t="s">
        <v>21</v>
      </c>
    </row>
    <row r="6" spans="1:11" ht="15">
      <c r="A6" s="90">
        <v>1</v>
      </c>
      <c r="B6" s="266" t="s">
        <v>342</v>
      </c>
      <c r="C6" s="266"/>
      <c r="D6" s="266"/>
      <c r="E6" s="266"/>
      <c r="F6" s="266"/>
      <c r="G6" s="91" t="s">
        <v>267</v>
      </c>
      <c r="H6" s="173">
        <v>45908</v>
      </c>
      <c r="I6" s="173">
        <v>49655</v>
      </c>
      <c r="J6" s="92" t="s">
        <v>281</v>
      </c>
      <c r="K6" s="93" t="s">
        <v>22</v>
      </c>
    </row>
    <row r="7" spans="1:11" ht="30">
      <c r="A7" s="90">
        <v>2</v>
      </c>
      <c r="B7" s="266" t="s">
        <v>343</v>
      </c>
      <c r="C7" s="266"/>
      <c r="D7" s="266"/>
      <c r="E7" s="266"/>
      <c r="F7" s="266"/>
      <c r="G7" s="91" t="s">
        <v>280</v>
      </c>
      <c r="H7" s="173">
        <v>45910</v>
      </c>
      <c r="I7" s="173">
        <v>49655</v>
      </c>
      <c r="J7" s="92" t="s">
        <v>281</v>
      </c>
      <c r="K7" s="93" t="s">
        <v>22</v>
      </c>
    </row>
    <row r="8" spans="1:11" ht="30">
      <c r="A8" s="90">
        <v>3</v>
      </c>
      <c r="B8" s="266" t="s">
        <v>344</v>
      </c>
      <c r="C8" s="266"/>
      <c r="D8" s="266"/>
      <c r="E8" s="266"/>
      <c r="F8" s="266"/>
      <c r="G8" s="91" t="s">
        <v>285</v>
      </c>
      <c r="H8" s="173">
        <v>45936</v>
      </c>
      <c r="I8" s="173">
        <v>49655</v>
      </c>
      <c r="J8" s="92" t="s">
        <v>281</v>
      </c>
      <c r="K8" s="93" t="s">
        <v>22</v>
      </c>
    </row>
    <row r="9" spans="1:11" ht="15.6">
      <c r="A9" s="189"/>
      <c r="B9" s="267"/>
      <c r="C9" s="267"/>
      <c r="D9" s="267"/>
      <c r="E9" s="267"/>
      <c r="F9" s="267"/>
      <c r="G9" s="190"/>
      <c r="H9" s="190"/>
      <c r="I9" s="190"/>
      <c r="J9" s="191"/>
      <c r="K9" s="192"/>
    </row>
    <row r="10" spans="1:11" ht="15.6">
      <c r="A10" s="189"/>
      <c r="B10" s="267"/>
      <c r="C10" s="267"/>
      <c r="D10" s="267"/>
      <c r="E10" s="267"/>
      <c r="F10" s="267"/>
      <c r="G10" s="190"/>
      <c r="H10" s="190"/>
      <c r="I10" s="190"/>
      <c r="J10" s="193"/>
      <c r="K10" s="192"/>
    </row>
    <row r="11" spans="1:11" ht="15.6">
      <c r="A11" s="189"/>
      <c r="B11" s="267"/>
      <c r="C11" s="267"/>
      <c r="D11" s="267"/>
      <c r="E11" s="267"/>
      <c r="F11" s="267"/>
      <c r="G11" s="190"/>
      <c r="H11" s="190"/>
      <c r="I11" s="190"/>
      <c r="J11" s="191"/>
      <c r="K11" s="192"/>
    </row>
  </sheetData>
  <mergeCells count="11">
    <mergeCell ref="B8:F8"/>
    <mergeCell ref="B9:F9"/>
    <mergeCell ref="B10:F10"/>
    <mergeCell ref="B11:F11"/>
    <mergeCell ref="J1:K1"/>
    <mergeCell ref="J2:K2"/>
    <mergeCell ref="J3:K3"/>
    <mergeCell ref="B5:F5"/>
    <mergeCell ref="B6:F6"/>
    <mergeCell ref="B7:F7"/>
    <mergeCell ref="A1:I3"/>
  </mergeCells>
  <printOptions horizontalCentered="1"/>
  <pageMargins left="0.23622047244094491" right="0.23622047244094491" top="0.23622047244094491" bottom="0.23622047244094491" header="0" footer="0"/>
  <pageSetup paperSize="9" scale="72" fitToHeight="4" orientation="landscape" r:id="rId1"/>
  <headerFooter alignWithMargins="0"/>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6">
    <outlinePr summaryBelow="0" summaryRight="0"/>
    <pageSetUpPr fitToPage="1"/>
  </sheetPr>
  <dimension ref="A1:J31"/>
  <sheetViews>
    <sheetView showGridLines="0" zoomScale="80" zoomScaleNormal="80" workbookViewId="0">
      <selection activeCell="D36" sqref="D36"/>
    </sheetView>
  </sheetViews>
  <sheetFormatPr baseColWidth="10" defaultColWidth="11.44140625" defaultRowHeight="13.2" outlineLevelRow="2"/>
  <cols>
    <col min="1" max="1" width="33.6640625" style="3" customWidth="1"/>
    <col min="2" max="2" width="38.6640625" style="3" customWidth="1"/>
    <col min="3" max="3" width="11" style="3" customWidth="1"/>
    <col min="4" max="4" width="14.33203125" style="3" bestFit="1" customWidth="1"/>
    <col min="5" max="5" width="15.44140625" style="3" customWidth="1"/>
    <col min="6" max="6" width="6.33203125" style="4" customWidth="1"/>
    <col min="7" max="7" width="10.88671875" style="4" customWidth="1"/>
    <col min="8" max="8" width="26.6640625" style="4" customWidth="1"/>
    <col min="9" max="9" width="17.109375" style="4" customWidth="1"/>
    <col min="10" max="10" width="17.5546875" style="4" customWidth="1"/>
    <col min="11" max="11" width="26.5546875" style="3" customWidth="1"/>
    <col min="12" max="16384" width="11.44140625" style="3"/>
  </cols>
  <sheetData>
    <row r="1" spans="1:10" ht="13.5" customHeight="1">
      <c r="A1" s="257" t="str">
        <f>"DOCUMENTS PROJET au "&amp;TEXT(I2,"jj/mm/aaaa")</f>
        <v>DOCUMENTS PROJET au 25/00/Freitag</v>
      </c>
      <c r="B1" s="271"/>
      <c r="C1" s="271"/>
      <c r="D1" s="271"/>
      <c r="E1" s="271"/>
      <c r="F1" s="271"/>
      <c r="G1" s="271"/>
      <c r="H1" s="272"/>
      <c r="I1" s="225" t="str">
        <f>'1a-Identification Projet'!$L1</f>
        <v>reference Tableau de bord</v>
      </c>
      <c r="J1" s="226"/>
    </row>
    <row r="2" spans="1:10" ht="12.75" customHeight="1">
      <c r="A2" s="273"/>
      <c r="B2" s="274"/>
      <c r="C2" s="274"/>
      <c r="D2" s="274"/>
      <c r="E2" s="274"/>
      <c r="F2" s="274"/>
      <c r="G2" s="274"/>
      <c r="H2" s="275"/>
      <c r="I2" s="227">
        <f>'1a-Identification Projet'!$L2</f>
        <v>45912</v>
      </c>
      <c r="J2" s="228"/>
    </row>
    <row r="3" spans="1:10" ht="16.5" customHeight="1" thickBot="1">
      <c r="A3" s="276"/>
      <c r="B3" s="277"/>
      <c r="C3" s="277"/>
      <c r="D3" s="277"/>
      <c r="E3" s="277"/>
      <c r="F3" s="277"/>
      <c r="G3" s="277"/>
      <c r="H3" s="278"/>
      <c r="I3" s="229" t="str">
        <f>'1a-Identification Projet'!$L3</f>
        <v>Organisation</v>
      </c>
      <c r="J3" s="230"/>
    </row>
    <row r="4" spans="1:10" ht="13.8" thickBot="1">
      <c r="A4" s="41"/>
      <c r="B4" s="41"/>
      <c r="C4" s="40"/>
      <c r="D4" s="39"/>
      <c r="E4" s="39"/>
      <c r="F4" s="39"/>
      <c r="G4" s="39"/>
      <c r="H4" s="39"/>
      <c r="I4" s="39"/>
      <c r="J4" s="39"/>
    </row>
    <row r="5" spans="1:10" ht="21" thickBot="1">
      <c r="A5" s="55" t="s">
        <v>29</v>
      </c>
      <c r="B5" s="55" t="s">
        <v>30</v>
      </c>
      <c r="C5" s="55" t="s">
        <v>6</v>
      </c>
      <c r="D5" s="55" t="s">
        <v>0</v>
      </c>
      <c r="E5" s="55" t="s">
        <v>31</v>
      </c>
      <c r="F5" s="55" t="s">
        <v>32</v>
      </c>
      <c r="G5" s="55" t="s">
        <v>33</v>
      </c>
      <c r="H5" s="55" t="s">
        <v>34</v>
      </c>
      <c r="I5" s="55" t="s">
        <v>35</v>
      </c>
      <c r="J5" s="55" t="s">
        <v>36</v>
      </c>
    </row>
    <row r="6" spans="1:10" ht="13.5" customHeight="1" thickBot="1">
      <c r="A6" s="56" t="s">
        <v>38</v>
      </c>
      <c r="B6" s="45"/>
      <c r="C6" s="45"/>
      <c r="D6" s="45"/>
      <c r="E6" s="45"/>
      <c r="F6" s="45"/>
      <c r="G6" s="45"/>
      <c r="H6" s="45"/>
      <c r="I6" s="45"/>
      <c r="J6" s="44"/>
    </row>
    <row r="7" spans="1:10" ht="13.8" thickBot="1">
      <c r="A7" s="58" t="s">
        <v>43</v>
      </c>
      <c r="B7" s="43"/>
      <c r="C7" s="43"/>
      <c r="D7" s="43"/>
      <c r="E7" s="43"/>
      <c r="F7" s="43"/>
      <c r="G7" s="43"/>
      <c r="H7" s="43"/>
      <c r="I7" s="43"/>
      <c r="J7" s="42"/>
    </row>
    <row r="8" spans="1:10" ht="13.8" outlineLevel="1" thickBot="1">
      <c r="A8" s="59" t="s">
        <v>330</v>
      </c>
      <c r="B8" s="59"/>
      <c r="C8" s="59"/>
      <c r="D8" s="59" t="s">
        <v>63</v>
      </c>
      <c r="E8" s="59"/>
      <c r="F8" s="59"/>
      <c r="G8" s="59"/>
      <c r="H8" s="59"/>
      <c r="I8" s="59"/>
      <c r="J8" s="59" t="s">
        <v>45</v>
      </c>
    </row>
    <row r="9" spans="1:10" ht="13.8" outlineLevel="2" thickBot="1">
      <c r="A9" s="58" t="s">
        <v>44</v>
      </c>
      <c r="B9" s="43"/>
      <c r="C9" s="43"/>
      <c r="D9" s="43"/>
      <c r="E9" s="43"/>
      <c r="F9" s="43"/>
      <c r="G9" s="43"/>
      <c r="H9" s="43"/>
      <c r="I9" s="43"/>
      <c r="J9" s="42"/>
    </row>
    <row r="10" spans="1:10" outlineLevel="1">
      <c r="A10" s="59" t="s">
        <v>331</v>
      </c>
      <c r="B10" s="59"/>
      <c r="C10" s="59"/>
      <c r="D10" s="59" t="s">
        <v>332</v>
      </c>
      <c r="E10" s="59"/>
      <c r="F10" s="59"/>
      <c r="G10" s="59"/>
      <c r="H10" s="59"/>
      <c r="I10" s="59"/>
      <c r="J10" s="59" t="s">
        <v>45</v>
      </c>
    </row>
    <row r="11" spans="1:10" ht="13.8" outlineLevel="2" thickBot="1">
      <c r="A11" s="59" t="s">
        <v>333</v>
      </c>
      <c r="B11" s="59"/>
      <c r="C11" s="59"/>
      <c r="D11" s="59" t="s">
        <v>334</v>
      </c>
      <c r="E11" s="59"/>
      <c r="F11" s="59"/>
      <c r="G11" s="59"/>
      <c r="H11" s="59"/>
      <c r="I11" s="59"/>
      <c r="J11" s="59" t="s">
        <v>37</v>
      </c>
    </row>
    <row r="12" spans="1:10" ht="13.8" outlineLevel="2" thickBot="1">
      <c r="A12" s="56" t="s">
        <v>39</v>
      </c>
      <c r="B12" s="43"/>
      <c r="C12" s="43"/>
      <c r="D12" s="43"/>
      <c r="E12" s="43"/>
      <c r="F12" s="43"/>
      <c r="G12" s="43"/>
      <c r="H12" s="43"/>
      <c r="I12" s="43"/>
      <c r="J12" s="42"/>
    </row>
    <row r="13" spans="1:10" ht="13.8" thickBot="1">
      <c r="A13" s="58" t="s">
        <v>46</v>
      </c>
      <c r="B13" s="43"/>
      <c r="C13" s="43"/>
      <c r="D13" s="43"/>
      <c r="E13" s="43"/>
      <c r="F13" s="43"/>
      <c r="G13" s="43"/>
      <c r="H13" s="43"/>
      <c r="I13" s="43"/>
      <c r="J13" s="42"/>
    </row>
    <row r="14" spans="1:10" outlineLevel="1">
      <c r="A14" s="59" t="s">
        <v>335</v>
      </c>
      <c r="B14" s="59"/>
      <c r="C14" s="59"/>
      <c r="D14" s="59" t="s">
        <v>59</v>
      </c>
      <c r="E14" s="59"/>
      <c r="F14" s="59"/>
      <c r="G14" s="59"/>
      <c r="H14" s="59">
        <v>45926</v>
      </c>
      <c r="I14" s="59"/>
      <c r="J14" s="59" t="s">
        <v>37</v>
      </c>
    </row>
    <row r="15" spans="1:10" outlineLevel="2">
      <c r="A15" s="59" t="s">
        <v>336</v>
      </c>
      <c r="B15" s="59"/>
      <c r="C15" s="59"/>
      <c r="D15" s="59" t="s">
        <v>59</v>
      </c>
      <c r="E15" s="59"/>
      <c r="F15" s="59"/>
      <c r="G15" s="59"/>
      <c r="H15" s="59">
        <v>45937</v>
      </c>
      <c r="I15" s="59"/>
      <c r="J15" s="59" t="s">
        <v>37</v>
      </c>
    </row>
    <row r="16" spans="1:10" outlineLevel="2">
      <c r="A16" s="59" t="s">
        <v>327</v>
      </c>
      <c r="B16" s="59"/>
      <c r="C16" s="59"/>
      <c r="D16" s="59" t="s">
        <v>59</v>
      </c>
      <c r="E16" s="59"/>
      <c r="F16" s="59"/>
      <c r="G16" s="59"/>
      <c r="H16" s="59">
        <v>45948</v>
      </c>
      <c r="I16" s="59"/>
      <c r="J16" s="59" t="s">
        <v>37</v>
      </c>
    </row>
    <row r="17" spans="1:10" ht="13.8" outlineLevel="2" thickBot="1">
      <c r="A17" s="59" t="s">
        <v>337</v>
      </c>
      <c r="B17" s="59"/>
      <c r="C17" s="59"/>
      <c r="D17" s="59" t="s">
        <v>59</v>
      </c>
      <c r="E17" s="59"/>
      <c r="F17" s="59"/>
      <c r="G17" s="59"/>
      <c r="H17" s="59">
        <v>46003</v>
      </c>
      <c r="I17" s="59"/>
      <c r="J17" s="59" t="s">
        <v>37</v>
      </c>
    </row>
    <row r="18" spans="1:10" ht="13.8" outlineLevel="2" thickBot="1">
      <c r="A18" s="58" t="s">
        <v>56</v>
      </c>
      <c r="B18" s="43"/>
      <c r="C18" s="43"/>
      <c r="D18" s="43"/>
      <c r="E18" s="43"/>
      <c r="F18" s="43"/>
      <c r="G18" s="43"/>
      <c r="H18" s="43"/>
      <c r="I18" s="43"/>
      <c r="J18" s="42"/>
    </row>
    <row r="19" spans="1:10" outlineLevel="1">
      <c r="A19" s="59" t="s">
        <v>338</v>
      </c>
      <c r="B19" s="59"/>
      <c r="C19" s="59"/>
      <c r="D19" s="59" t="s">
        <v>60</v>
      </c>
      <c r="E19" s="59"/>
      <c r="F19" s="59"/>
      <c r="G19" s="59"/>
      <c r="H19" s="59">
        <v>42838</v>
      </c>
      <c r="I19" s="59"/>
      <c r="J19" s="59" t="s">
        <v>37</v>
      </c>
    </row>
    <row r="20" spans="1:10" outlineLevel="2">
      <c r="A20" s="59" t="s">
        <v>47</v>
      </c>
      <c r="B20" s="59"/>
      <c r="C20" s="59"/>
      <c r="D20" s="59" t="s">
        <v>60</v>
      </c>
      <c r="E20" s="59"/>
      <c r="F20" s="59"/>
      <c r="G20" s="59"/>
      <c r="H20" s="59">
        <v>42838</v>
      </c>
      <c r="I20" s="59"/>
      <c r="J20" s="59" t="s">
        <v>37</v>
      </c>
    </row>
    <row r="21" spans="1:10" outlineLevel="2">
      <c r="A21" s="59" t="s">
        <v>48</v>
      </c>
      <c r="B21" s="59"/>
      <c r="C21" s="59"/>
      <c r="D21" s="59" t="s">
        <v>60</v>
      </c>
      <c r="E21" s="59"/>
      <c r="F21" s="59"/>
      <c r="G21" s="59"/>
      <c r="H21" s="59">
        <v>42864</v>
      </c>
      <c r="I21" s="59"/>
      <c r="J21" s="59" t="s">
        <v>37</v>
      </c>
    </row>
    <row r="22" spans="1:10" outlineLevel="2">
      <c r="A22" s="59" t="s">
        <v>49</v>
      </c>
      <c r="B22" s="59"/>
      <c r="C22" s="59"/>
      <c r="D22" s="59" t="s">
        <v>61</v>
      </c>
      <c r="E22" s="59"/>
      <c r="F22" s="59"/>
      <c r="G22" s="59"/>
      <c r="H22" s="59">
        <v>42843</v>
      </c>
      <c r="I22" s="59"/>
      <c r="J22" s="59" t="s">
        <v>37</v>
      </c>
    </row>
    <row r="23" spans="1:10" outlineLevel="2">
      <c r="A23" s="59" t="s">
        <v>50</v>
      </c>
      <c r="B23" s="59"/>
      <c r="C23" s="59"/>
      <c r="D23" s="59" t="s">
        <v>61</v>
      </c>
      <c r="E23" s="59"/>
      <c r="F23" s="59"/>
      <c r="G23" s="59"/>
      <c r="H23" s="59">
        <v>42843</v>
      </c>
      <c r="I23" s="59"/>
      <c r="J23" s="59" t="s">
        <v>37</v>
      </c>
    </row>
    <row r="24" spans="1:10" outlineLevel="2">
      <c r="A24" s="59" t="s">
        <v>51</v>
      </c>
      <c r="B24" s="59"/>
      <c r="C24" s="59"/>
      <c r="D24" s="59" t="s">
        <v>61</v>
      </c>
      <c r="E24" s="59"/>
      <c r="F24" s="59"/>
      <c r="G24" s="59"/>
      <c r="H24" s="59">
        <v>26</v>
      </c>
      <c r="I24" s="59"/>
      <c r="J24" s="59" t="s">
        <v>37</v>
      </c>
    </row>
    <row r="25" spans="1:10" outlineLevel="2">
      <c r="A25" s="59" t="s">
        <v>52</v>
      </c>
      <c r="B25" s="59"/>
      <c r="C25" s="59"/>
      <c r="D25" s="59" t="s">
        <v>62</v>
      </c>
      <c r="E25" s="59"/>
      <c r="F25" s="59"/>
      <c r="G25" s="59"/>
      <c r="H25" s="59">
        <v>42839</v>
      </c>
      <c r="I25" s="59"/>
      <c r="J25" s="59" t="s">
        <v>37</v>
      </c>
    </row>
    <row r="26" spans="1:10" outlineLevel="2">
      <c r="A26" s="59" t="s">
        <v>55</v>
      </c>
      <c r="B26" s="59"/>
      <c r="C26" s="59"/>
      <c r="D26" s="59" t="s">
        <v>62</v>
      </c>
      <c r="E26" s="59"/>
      <c r="F26" s="59"/>
      <c r="G26" s="59"/>
      <c r="H26" s="59">
        <v>18</v>
      </c>
      <c r="I26" s="59"/>
      <c r="J26" s="59" t="s">
        <v>37</v>
      </c>
    </row>
    <row r="27" spans="1:10" outlineLevel="2">
      <c r="A27" s="59" t="s">
        <v>53</v>
      </c>
      <c r="B27" s="59"/>
      <c r="C27" s="59"/>
      <c r="D27" s="59" t="s">
        <v>62</v>
      </c>
      <c r="E27" s="59"/>
      <c r="F27" s="59"/>
      <c r="G27" s="59"/>
      <c r="H27" s="59">
        <v>42851</v>
      </c>
      <c r="I27" s="59"/>
      <c r="J27" s="59" t="s">
        <v>37</v>
      </c>
    </row>
    <row r="28" spans="1:10" ht="13.8" outlineLevel="2" thickBot="1">
      <c r="A28" s="59" t="s">
        <v>54</v>
      </c>
      <c r="B28" s="59"/>
      <c r="C28" s="59"/>
      <c r="D28" s="59" t="s">
        <v>62</v>
      </c>
      <c r="E28" s="59"/>
      <c r="F28" s="59"/>
      <c r="G28" s="59"/>
      <c r="H28" s="59">
        <v>26</v>
      </c>
      <c r="I28" s="59"/>
      <c r="J28" s="59" t="s">
        <v>37</v>
      </c>
    </row>
    <row r="29" spans="1:10" ht="13.8" outlineLevel="2" thickBot="1">
      <c r="A29" s="58" t="s">
        <v>57</v>
      </c>
      <c r="B29" s="43"/>
      <c r="C29" s="43"/>
      <c r="D29" s="43"/>
      <c r="E29" s="43"/>
      <c r="F29" s="43"/>
      <c r="G29" s="43"/>
      <c r="H29" s="43"/>
      <c r="I29" s="43"/>
      <c r="J29" s="42"/>
    </row>
    <row r="30" spans="1:10" outlineLevel="1">
      <c r="A30" s="59" t="s">
        <v>58</v>
      </c>
      <c r="B30" s="59"/>
      <c r="C30" s="59"/>
      <c r="D30" s="59" t="s">
        <v>60</v>
      </c>
      <c r="E30" s="59"/>
      <c r="F30" s="59"/>
      <c r="G30" s="59"/>
      <c r="H30" s="59">
        <v>42864</v>
      </c>
      <c r="I30" s="59"/>
      <c r="J30" s="59" t="s">
        <v>37</v>
      </c>
    </row>
    <row r="31" spans="1:10" outlineLevel="2"/>
  </sheetData>
  <mergeCells count="4">
    <mergeCell ref="I1:J1"/>
    <mergeCell ref="I2:J2"/>
    <mergeCell ref="I3:J3"/>
    <mergeCell ref="A1:H3"/>
  </mergeCells>
  <dataValidations count="1">
    <dataValidation type="list" allowBlank="1" showInputMessage="1" showErrorMessage="1" sqref="J8 J14:J17 J19:J28 J30 J10:J11" xr:uid="{00000000-0002-0000-0B00-000000000000}">
      <formula1>"à realiser,en cours,en validaion,validé,périodic"</formula1>
    </dataValidation>
  </dataValidations>
  <printOptions horizontalCentered="1"/>
  <pageMargins left="0.23622047244094491" right="0.23622047244094491" top="0.23622047244094491" bottom="0.23622047244094491" header="0" footer="0"/>
  <pageSetup paperSize="9" scale="76" orientation="landscape" r:id="rId1"/>
  <headerFooter alignWithMargins="0"/>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7">
    <outlinePr summaryBelow="0" summaryRight="0"/>
    <pageSetUpPr fitToPage="1"/>
  </sheetPr>
  <dimension ref="A1:L15"/>
  <sheetViews>
    <sheetView showGridLines="0" zoomScale="80" zoomScaleNormal="80" workbookViewId="0">
      <selection activeCell="D26" sqref="D26"/>
    </sheetView>
  </sheetViews>
  <sheetFormatPr baseColWidth="10" defaultColWidth="11.44140625" defaultRowHeight="13.2" outlineLevelRow="2"/>
  <cols>
    <col min="1" max="1" width="32.5546875" style="3" customWidth="1"/>
    <col min="2" max="2" width="76.33203125" style="3" customWidth="1"/>
    <col min="3" max="3" width="19.5546875" style="4" customWidth="1"/>
    <col min="4" max="4" width="17.109375" style="4" customWidth="1"/>
    <col min="5" max="5" width="17.5546875" style="4" customWidth="1"/>
    <col min="6" max="6" width="26.5546875" style="3" customWidth="1"/>
    <col min="7" max="16384" width="11.44140625" style="3"/>
  </cols>
  <sheetData>
    <row r="1" spans="1:12" ht="13.5" customHeight="1">
      <c r="A1" s="279" t="str">
        <f>"LIVRABLES PROJET au "&amp;TEXT(D2,"jj/mm/aaaa")</f>
        <v>LIVRABLES PROJET au 25/00/Freitag</v>
      </c>
      <c r="B1" s="280"/>
      <c r="C1" s="280"/>
      <c r="D1" s="225" t="str">
        <f>'1a-Identification Projet'!$L1</f>
        <v>reference Tableau de bord</v>
      </c>
      <c r="E1" s="226"/>
    </row>
    <row r="2" spans="1:12" ht="12.75" customHeight="1">
      <c r="A2" s="281"/>
      <c r="B2" s="282"/>
      <c r="C2" s="282"/>
      <c r="D2" s="227">
        <f>'1a-Identification Projet'!$L2</f>
        <v>45912</v>
      </c>
      <c r="E2" s="228"/>
    </row>
    <row r="3" spans="1:12" ht="16.5" customHeight="1" thickBot="1">
      <c r="A3" s="283"/>
      <c r="B3" s="284"/>
      <c r="C3" s="284"/>
      <c r="D3" s="229" t="str">
        <f>'1a-Identification Projet'!$L3</f>
        <v>Organisation</v>
      </c>
      <c r="E3" s="230"/>
    </row>
    <row r="4" spans="1:12" ht="12.75" customHeight="1" thickBot="1">
      <c r="B4" s="26"/>
    </row>
    <row r="5" spans="1:12" ht="21" thickBot="1">
      <c r="A5" s="55" t="s">
        <v>40</v>
      </c>
      <c r="B5" s="57" t="s">
        <v>41</v>
      </c>
      <c r="C5" s="55" t="s">
        <v>42</v>
      </c>
      <c r="D5" s="55" t="s">
        <v>35</v>
      </c>
      <c r="E5" s="55" t="s">
        <v>36</v>
      </c>
    </row>
    <row r="6" spans="1:12" ht="13.5" customHeight="1" thickBot="1">
      <c r="A6" s="56" t="s">
        <v>64</v>
      </c>
      <c r="B6" s="43"/>
      <c r="C6" s="43"/>
      <c r="D6" s="43"/>
      <c r="E6" s="42"/>
    </row>
    <row r="7" spans="1:12">
      <c r="A7" s="59" t="s">
        <v>324</v>
      </c>
      <c r="B7" s="59" t="s">
        <v>323</v>
      </c>
      <c r="C7" s="59">
        <v>45926</v>
      </c>
      <c r="D7" s="59">
        <v>45926</v>
      </c>
      <c r="E7" s="59" t="s">
        <v>45</v>
      </c>
    </row>
    <row r="8" spans="1:12" outlineLevel="2">
      <c r="A8" s="59" t="s">
        <v>325</v>
      </c>
      <c r="B8" s="59" t="s">
        <v>326</v>
      </c>
      <c r="C8" s="59">
        <v>45937</v>
      </c>
      <c r="D8" s="59">
        <v>45937</v>
      </c>
      <c r="E8" s="59" t="s">
        <v>45</v>
      </c>
    </row>
    <row r="9" spans="1:12" outlineLevel="2">
      <c r="A9" s="59" t="s">
        <v>327</v>
      </c>
      <c r="B9" s="59" t="s">
        <v>328</v>
      </c>
      <c r="C9" s="59">
        <v>45948</v>
      </c>
      <c r="D9" s="59">
        <v>45948</v>
      </c>
      <c r="E9" s="59" t="s">
        <v>45</v>
      </c>
      <c r="F9" s="4"/>
      <c r="G9" s="4"/>
      <c r="H9" s="4"/>
      <c r="I9" s="4"/>
      <c r="J9" s="4"/>
      <c r="K9" s="4"/>
      <c r="L9" s="4"/>
    </row>
    <row r="10" spans="1:12" s="4" customFormat="1" outlineLevel="2">
      <c r="A10" s="59" t="s">
        <v>322</v>
      </c>
      <c r="B10" s="59" t="s">
        <v>329</v>
      </c>
      <c r="C10" s="59">
        <v>46003</v>
      </c>
      <c r="D10" s="59"/>
      <c r="E10" s="59" t="s">
        <v>37</v>
      </c>
    </row>
    <row r="11" spans="1:12" s="4" customFormat="1" outlineLevel="2">
      <c r="A11" s="195"/>
      <c r="B11" s="203"/>
      <c r="C11" s="203"/>
      <c r="D11" s="203"/>
      <c r="E11" s="203"/>
    </row>
    <row r="12" spans="1:12" s="4" customFormat="1" outlineLevel="2">
      <c r="A12" s="203"/>
      <c r="B12" s="203"/>
      <c r="C12" s="203"/>
      <c r="D12" s="203"/>
      <c r="E12" s="203"/>
      <c r="F12" s="3"/>
      <c r="G12" s="3"/>
      <c r="H12" s="3"/>
      <c r="I12" s="3"/>
      <c r="J12" s="3"/>
      <c r="K12" s="3"/>
      <c r="L12" s="3"/>
    </row>
    <row r="13" spans="1:12" outlineLevel="2">
      <c r="A13" s="203"/>
      <c r="B13" s="203"/>
      <c r="C13" s="203"/>
      <c r="D13" s="203"/>
      <c r="E13" s="203"/>
    </row>
    <row r="14" spans="1:12" outlineLevel="2">
      <c r="E14" s="3"/>
    </row>
    <row r="15" spans="1:12">
      <c r="C15" s="203"/>
    </row>
  </sheetData>
  <mergeCells count="4">
    <mergeCell ref="D1:E1"/>
    <mergeCell ref="D2:E2"/>
    <mergeCell ref="D3:E3"/>
    <mergeCell ref="A1:C3"/>
  </mergeCells>
  <dataValidations count="1">
    <dataValidation type="list" allowBlank="1" showInputMessage="1" showErrorMessage="1" sqref="E7:E13" xr:uid="{00000000-0002-0000-0C00-000000000000}">
      <formula1>"à realiser,en cours,en validaion,validé"</formula1>
    </dataValidation>
  </dataValidations>
  <printOptions horizontalCentered="1"/>
  <pageMargins left="0.23622047244094491" right="0.23622047244094491" top="0.23622047244094491" bottom="0.23622047244094491" header="0" footer="0"/>
  <pageSetup paperSize="9" scale="88" orientation="landscape"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6">
    <pageSetUpPr fitToPage="1"/>
  </sheetPr>
  <dimension ref="A1:I22"/>
  <sheetViews>
    <sheetView showGridLines="0" showZeros="0" zoomScale="80" zoomScaleNormal="80" workbookViewId="0">
      <selection activeCell="B27" sqref="B27"/>
    </sheetView>
  </sheetViews>
  <sheetFormatPr baseColWidth="10" defaultColWidth="11.44140625" defaultRowHeight="13.2"/>
  <cols>
    <col min="1" max="1" width="71.77734375" style="3" bestFit="1" customWidth="1"/>
    <col min="2" max="2" width="105.21875" style="3" bestFit="1" customWidth="1"/>
    <col min="3" max="3" width="13.5546875" style="3" customWidth="1"/>
    <col min="4" max="4" width="13.33203125" style="3" customWidth="1"/>
    <col min="5" max="5" width="8.33203125" style="3" customWidth="1"/>
    <col min="6" max="6" width="13.33203125" style="3" customWidth="1"/>
    <col min="7" max="8" width="13" style="3" customWidth="1"/>
    <col min="9" max="9" width="12.44140625" style="3" customWidth="1"/>
    <col min="10" max="10" width="20" style="3" customWidth="1"/>
    <col min="11" max="16384" width="11.44140625" style="3"/>
  </cols>
  <sheetData>
    <row r="1" spans="1:9">
      <c r="A1" s="294" t="str">
        <f>"Risques / opportunités au "&amp;TEXT(F2,"jj/MM/AAAA")</f>
        <v>Risques / opportunités au 25/09/Freitag</v>
      </c>
      <c r="B1" s="295"/>
      <c r="C1" s="295"/>
      <c r="D1" s="295"/>
      <c r="E1" s="295"/>
      <c r="F1" s="285" t="str">
        <f>'1a-Identification Projet'!$L1</f>
        <v>reference Tableau de bord</v>
      </c>
      <c r="G1" s="286"/>
      <c r="H1" s="286"/>
      <c r="I1" s="287"/>
    </row>
    <row r="2" spans="1:9" ht="12.75" customHeight="1">
      <c r="A2" s="296"/>
      <c r="B2" s="297"/>
      <c r="C2" s="297"/>
      <c r="D2" s="297"/>
      <c r="E2" s="297"/>
      <c r="F2" s="288">
        <f>'1a-Identification Projet'!$L2</f>
        <v>45912</v>
      </c>
      <c r="G2" s="289"/>
      <c r="H2" s="289"/>
      <c r="I2" s="290"/>
    </row>
    <row r="3" spans="1:9" ht="12.75" customHeight="1" thickBot="1">
      <c r="A3" s="298"/>
      <c r="B3" s="299"/>
      <c r="C3" s="299"/>
      <c r="D3" s="299"/>
      <c r="E3" s="299"/>
      <c r="F3" s="291" t="str">
        <f>'1a-Identification Projet'!$L3</f>
        <v>Organisation</v>
      </c>
      <c r="G3" s="292"/>
      <c r="H3" s="292"/>
      <c r="I3" s="293"/>
    </row>
    <row r="4" spans="1:9">
      <c r="F4" s="31"/>
      <c r="G4" s="31"/>
      <c r="H4" s="31"/>
      <c r="I4" s="31"/>
    </row>
    <row r="5" spans="1:9" ht="13.8" thickBot="1">
      <c r="F5" s="31"/>
      <c r="G5" s="31"/>
      <c r="H5" s="31"/>
      <c r="I5" s="31"/>
    </row>
    <row r="6" spans="1:9" ht="41.4">
      <c r="A6" s="51" t="s">
        <v>9</v>
      </c>
      <c r="B6" s="52" t="s">
        <v>10</v>
      </c>
      <c r="C6" s="52" t="s">
        <v>18</v>
      </c>
      <c r="D6" s="52" t="s">
        <v>12</v>
      </c>
      <c r="E6" s="52" t="s">
        <v>19</v>
      </c>
      <c r="F6" s="52" t="s">
        <v>14</v>
      </c>
      <c r="G6" s="52" t="s">
        <v>87</v>
      </c>
      <c r="H6" s="52" t="s">
        <v>15</v>
      </c>
      <c r="I6" s="53" t="s">
        <v>0</v>
      </c>
    </row>
    <row r="7" spans="1:9" ht="26.4">
      <c r="A7" s="60" t="s">
        <v>301</v>
      </c>
      <c r="B7" s="62" t="s">
        <v>304</v>
      </c>
      <c r="C7" s="63"/>
      <c r="D7" s="64" t="s">
        <v>312</v>
      </c>
      <c r="E7" s="63"/>
      <c r="F7" s="65"/>
      <c r="G7" s="65"/>
      <c r="H7" s="65"/>
      <c r="I7" s="66"/>
    </row>
    <row r="8" spans="1:9">
      <c r="A8" s="60" t="s">
        <v>302</v>
      </c>
      <c r="B8" s="62" t="s">
        <v>305</v>
      </c>
      <c r="C8" s="63"/>
      <c r="D8" s="64" t="s">
        <v>313</v>
      </c>
      <c r="E8" s="63"/>
      <c r="F8" s="65"/>
      <c r="G8" s="65"/>
      <c r="H8" s="65"/>
      <c r="I8" s="66"/>
    </row>
    <row r="9" spans="1:9">
      <c r="A9" s="61" t="s">
        <v>303</v>
      </c>
      <c r="B9" s="62" t="s">
        <v>306</v>
      </c>
      <c r="C9" s="63"/>
      <c r="D9" s="64" t="s">
        <v>313</v>
      </c>
      <c r="E9" s="63"/>
      <c r="F9" s="65"/>
      <c r="G9" s="65"/>
      <c r="H9" s="65"/>
      <c r="I9" s="66"/>
    </row>
    <row r="10" spans="1:9" ht="21" customHeight="1">
      <c r="A10" s="61"/>
      <c r="B10" s="62"/>
      <c r="C10" s="63"/>
      <c r="D10" s="64"/>
      <c r="E10" s="63">
        <f>C10*D10</f>
        <v>0</v>
      </c>
      <c r="F10" s="65"/>
      <c r="G10" s="65"/>
      <c r="H10" s="65"/>
      <c r="I10" s="66"/>
    </row>
    <row r="11" spans="1:9" ht="21" customHeight="1">
      <c r="A11" s="61"/>
      <c r="B11" s="62"/>
      <c r="C11" s="63"/>
      <c r="D11" s="64"/>
      <c r="E11" s="63">
        <f>C11*D11</f>
        <v>0</v>
      </c>
      <c r="F11" s="65"/>
      <c r="G11" s="65"/>
      <c r="H11" s="65"/>
      <c r="I11" s="66"/>
    </row>
    <row r="12" spans="1:9" ht="21" customHeight="1">
      <c r="A12" s="67"/>
      <c r="B12" s="68"/>
      <c r="C12" s="63">
        <f>SUM(C7:C11)</f>
        <v>0</v>
      </c>
      <c r="D12" s="62"/>
      <c r="E12" s="63"/>
      <c r="F12" s="69"/>
      <c r="G12" s="69"/>
      <c r="H12" s="70"/>
      <c r="I12" s="66"/>
    </row>
    <row r="13" spans="1:9" s="76" customFormat="1" ht="21" customHeight="1">
      <c r="A13" s="36"/>
      <c r="B13" s="37"/>
      <c r="C13" s="38"/>
      <c r="D13" s="38"/>
      <c r="E13" s="38"/>
      <c r="F13" s="38"/>
      <c r="G13" s="38"/>
      <c r="H13" s="38"/>
      <c r="I13" s="38"/>
    </row>
    <row r="14" spans="1:9" ht="13.8" thickBot="1"/>
    <row r="15" spans="1:9" ht="55.2">
      <c r="A15" s="54" t="s">
        <v>96</v>
      </c>
      <c r="B15" s="52" t="s">
        <v>10</v>
      </c>
      <c r="C15" s="52" t="s">
        <v>11</v>
      </c>
      <c r="D15" s="52" t="s">
        <v>12</v>
      </c>
      <c r="E15" s="52" t="s">
        <v>13</v>
      </c>
      <c r="F15" s="52" t="s">
        <v>14</v>
      </c>
      <c r="G15" s="52" t="s">
        <v>87</v>
      </c>
      <c r="H15" s="52" t="s">
        <v>15</v>
      </c>
      <c r="I15" s="53" t="s">
        <v>0</v>
      </c>
    </row>
    <row r="16" spans="1:9">
      <c r="A16" s="71" t="s">
        <v>307</v>
      </c>
      <c r="B16" s="72" t="s">
        <v>310</v>
      </c>
      <c r="C16" s="63"/>
      <c r="D16" s="64" t="s">
        <v>313</v>
      </c>
      <c r="E16" s="63"/>
      <c r="F16" s="65"/>
      <c r="G16" s="65"/>
      <c r="H16" s="65"/>
      <c r="I16" s="73"/>
    </row>
    <row r="17" spans="1:9" ht="21" customHeight="1">
      <c r="A17" s="71" t="s">
        <v>308</v>
      </c>
      <c r="B17" s="72" t="s">
        <v>311</v>
      </c>
      <c r="C17" s="63"/>
      <c r="D17" s="64" t="s">
        <v>312</v>
      </c>
      <c r="E17" s="63"/>
      <c r="F17" s="65"/>
      <c r="G17" s="65"/>
      <c r="H17" s="65"/>
      <c r="I17" s="73"/>
    </row>
    <row r="18" spans="1:9" ht="26.4">
      <c r="A18" s="74" t="s">
        <v>309</v>
      </c>
      <c r="B18" s="72" t="s">
        <v>311</v>
      </c>
      <c r="C18" s="63"/>
      <c r="D18" s="64" t="s">
        <v>313</v>
      </c>
      <c r="E18" s="63"/>
      <c r="F18" s="65"/>
      <c r="G18" s="65"/>
      <c r="H18" s="65"/>
      <c r="I18" s="73"/>
    </row>
    <row r="19" spans="1:9" ht="21" customHeight="1">
      <c r="A19" s="74"/>
      <c r="B19" s="72"/>
      <c r="C19" s="63"/>
      <c r="D19" s="64"/>
      <c r="E19" s="63">
        <f>C19*D19</f>
        <v>0</v>
      </c>
      <c r="F19" s="65"/>
      <c r="G19" s="65"/>
      <c r="H19" s="65"/>
      <c r="I19" s="73"/>
    </row>
    <row r="20" spans="1:9" ht="21" customHeight="1">
      <c r="A20" s="74"/>
      <c r="B20" s="72"/>
      <c r="C20" s="63"/>
      <c r="D20" s="64"/>
      <c r="E20" s="63">
        <f>C20*D20</f>
        <v>0</v>
      </c>
      <c r="F20" s="65"/>
      <c r="G20" s="65"/>
      <c r="H20" s="65"/>
      <c r="I20" s="73"/>
    </row>
    <row r="21" spans="1:9" ht="21" customHeight="1">
      <c r="A21" s="75"/>
      <c r="B21" s="68"/>
      <c r="C21" s="63">
        <f>SUM(C16:C20)</f>
        <v>0</v>
      </c>
      <c r="D21" s="70"/>
      <c r="E21" s="63"/>
      <c r="F21" s="70"/>
      <c r="G21" s="70"/>
      <c r="H21" s="70"/>
      <c r="I21" s="73"/>
    </row>
    <row r="22" spans="1:9" s="76" customFormat="1" ht="21" customHeight="1">
      <c r="A22" s="3"/>
      <c r="B22" s="3"/>
      <c r="C22" s="3"/>
      <c r="D22" s="3"/>
      <c r="E22" s="3"/>
      <c r="F22" s="3"/>
      <c r="G22" s="3"/>
      <c r="H22" s="3"/>
      <c r="I22" s="3"/>
    </row>
  </sheetData>
  <mergeCells count="4">
    <mergeCell ref="F1:I1"/>
    <mergeCell ref="F2:I2"/>
    <mergeCell ref="F3:I3"/>
    <mergeCell ref="A1:E3"/>
  </mergeCells>
  <pageMargins left="0.23622047244094491" right="0.23622047244094491" top="0.23622047244094491" bottom="0.23622047244094491" header="0" footer="0"/>
  <pageSetup paperSize="9" scale="70" orientation="landscape"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20">
    <pageSetUpPr fitToPage="1"/>
  </sheetPr>
  <dimension ref="A1:AM209"/>
  <sheetViews>
    <sheetView showGridLines="0" topLeftCell="B17" zoomScale="76" zoomScaleNormal="80" workbookViewId="0">
      <selection activeCell="N29" sqref="N29"/>
    </sheetView>
  </sheetViews>
  <sheetFormatPr baseColWidth="10" defaultColWidth="11.44140625" defaultRowHeight="13.2"/>
  <cols>
    <col min="1" max="1" width="1.6640625" style="3" customWidth="1"/>
    <col min="2" max="2" width="14" style="3" customWidth="1"/>
    <col min="3" max="3" width="29" style="3" customWidth="1"/>
    <col min="4" max="4" width="53" style="3" bestFit="1" customWidth="1"/>
    <col min="5" max="5" width="17" style="3" customWidth="1"/>
    <col min="6" max="6" width="16.109375" style="3" customWidth="1"/>
    <col min="7" max="7" width="11.44140625" style="3"/>
    <col min="8" max="8" width="24" style="3" bestFit="1" customWidth="1"/>
    <col min="9" max="10" width="17" style="3" customWidth="1"/>
    <col min="11" max="11" width="11.44140625" style="3"/>
    <col min="12" max="12" width="33" style="3" bestFit="1" customWidth="1"/>
    <col min="13" max="13" width="17.109375" style="3" customWidth="1"/>
    <col min="14" max="14" width="18.6640625" style="3" bestFit="1" customWidth="1"/>
    <col min="15" max="15" width="11.6640625" style="3" bestFit="1" customWidth="1"/>
    <col min="16" max="16" width="22.6640625" style="3" customWidth="1"/>
    <col min="17" max="17" width="25.21875" style="181" bestFit="1" customWidth="1"/>
    <col min="18" max="16384" width="11.44140625" style="3"/>
  </cols>
  <sheetData>
    <row r="1" spans="1:39">
      <c r="A1" s="16"/>
      <c r="B1" s="279" t="str">
        <f>"PLANNING COURANT  au "&amp;TEXT(K2,"jj/mm/aaaa")</f>
        <v>PLANNING COURANT  au 25/00/Freitag</v>
      </c>
      <c r="C1" s="300"/>
      <c r="D1" s="280"/>
      <c r="E1" s="280"/>
      <c r="F1" s="280"/>
      <c r="G1" s="280"/>
      <c r="H1" s="280"/>
      <c r="I1" s="280"/>
      <c r="J1" s="301"/>
      <c r="K1" s="249" t="str">
        <f>'1a-Identification Projet'!$L$1</f>
        <v>reference Tableau de bord</v>
      </c>
      <c r="L1" s="244"/>
      <c r="M1" s="250"/>
    </row>
    <row r="2" spans="1:39" s="16" customFormat="1" ht="12.75" customHeight="1">
      <c r="B2" s="281"/>
      <c r="C2" s="282"/>
      <c r="D2" s="282"/>
      <c r="E2" s="282"/>
      <c r="F2" s="282"/>
      <c r="G2" s="282"/>
      <c r="H2" s="282"/>
      <c r="I2" s="282"/>
      <c r="J2" s="302"/>
      <c r="K2" s="238">
        <f>'1a-Identification Projet'!$L$2</f>
        <v>45912</v>
      </c>
      <c r="L2" s="239"/>
      <c r="M2" s="240"/>
      <c r="N2" s="3"/>
      <c r="Q2" s="182"/>
    </row>
    <row r="3" spans="1:39" s="16" customFormat="1" ht="12.75" customHeight="1" thickBot="1">
      <c r="B3" s="283"/>
      <c r="C3" s="284"/>
      <c r="D3" s="284"/>
      <c r="E3" s="284"/>
      <c r="F3" s="284"/>
      <c r="G3" s="284"/>
      <c r="H3" s="284"/>
      <c r="I3" s="284"/>
      <c r="J3" s="303"/>
      <c r="K3" s="241" t="str">
        <f>'1a-Identification Projet'!$L$3</f>
        <v>Organisation</v>
      </c>
      <c r="L3" s="242"/>
      <c r="M3" s="243"/>
      <c r="N3" s="3"/>
      <c r="Q3" s="182"/>
    </row>
    <row r="4" spans="1:39" s="16" customFormat="1" ht="12.75" customHeight="1">
      <c r="A4"/>
      <c r="B4"/>
      <c r="C4"/>
      <c r="D4"/>
      <c r="E4"/>
      <c r="F4"/>
      <c r="G4"/>
      <c r="H4"/>
      <c r="I4"/>
      <c r="J4"/>
      <c r="K4"/>
      <c r="L4"/>
      <c r="M4"/>
      <c r="N4"/>
      <c r="O4"/>
      <c r="P4"/>
      <c r="Q4" s="183"/>
      <c r="R4"/>
      <c r="S4"/>
      <c r="T4"/>
      <c r="U4"/>
      <c r="V4"/>
      <c r="W4"/>
      <c r="X4"/>
      <c r="Y4"/>
      <c r="Z4"/>
      <c r="AA4"/>
      <c r="AB4"/>
      <c r="AC4"/>
      <c r="AD4"/>
      <c r="AE4"/>
      <c r="AF4"/>
      <c r="AG4"/>
      <c r="AH4"/>
      <c r="AI4"/>
      <c r="AJ4"/>
      <c r="AK4"/>
      <c r="AL4"/>
      <c r="AM4"/>
    </row>
    <row r="5" spans="1:39" ht="13.5" customHeight="1">
      <c r="A5"/>
      <c r="B5"/>
      <c r="C5"/>
      <c r="D5"/>
      <c r="E5"/>
      <c r="F5"/>
      <c r="G5"/>
      <c r="H5"/>
      <c r="I5"/>
      <c r="J5"/>
      <c r="K5"/>
      <c r="L5"/>
      <c r="M5"/>
      <c r="N5"/>
      <c r="O5"/>
      <c r="P5"/>
      <c r="Q5" s="183"/>
      <c r="R5"/>
      <c r="S5"/>
      <c r="T5"/>
      <c r="U5"/>
      <c r="V5"/>
      <c r="W5"/>
      <c r="X5"/>
      <c r="Y5"/>
      <c r="Z5"/>
      <c r="AA5"/>
      <c r="AB5"/>
      <c r="AC5"/>
      <c r="AD5"/>
      <c r="AE5"/>
      <c r="AF5"/>
      <c r="AG5"/>
      <c r="AH5"/>
      <c r="AI5"/>
      <c r="AJ5"/>
      <c r="AK5"/>
      <c r="AL5"/>
      <c r="AM5"/>
    </row>
    <row r="6" spans="1:39" ht="29.25" customHeight="1">
      <c r="A6"/>
      <c r="E6" s="17"/>
      <c r="F6" s="17"/>
      <c r="G6" s="17"/>
      <c r="H6" s="17"/>
      <c r="I6" s="17"/>
      <c r="J6" s="17"/>
      <c r="K6" s="17"/>
      <c r="L6" s="18"/>
      <c r="M6" s="18"/>
      <c r="R6"/>
      <c r="S6"/>
      <c r="T6"/>
      <c r="U6"/>
      <c r="V6"/>
      <c r="W6"/>
      <c r="X6"/>
      <c r="Y6"/>
      <c r="Z6"/>
      <c r="AA6"/>
      <c r="AB6"/>
      <c r="AC6"/>
      <c r="AD6"/>
      <c r="AE6"/>
      <c r="AF6"/>
      <c r="AG6"/>
      <c r="AH6"/>
      <c r="AI6"/>
      <c r="AJ6"/>
      <c r="AK6"/>
      <c r="AL6"/>
      <c r="AM6"/>
    </row>
    <row r="7" spans="1:39" ht="24.6">
      <c r="A7"/>
      <c r="C7" s="304" t="s">
        <v>266</v>
      </c>
      <c r="D7" s="305"/>
      <c r="E7" s="305"/>
      <c r="F7" s="305"/>
      <c r="G7" s="305"/>
      <c r="H7" s="305"/>
      <c r="I7" s="306"/>
      <c r="J7"/>
      <c r="K7" s="304" t="s">
        <v>95</v>
      </c>
      <c r="L7" s="305"/>
      <c r="M7" s="305"/>
      <c r="N7" s="305"/>
      <c r="O7" s="305"/>
      <c r="P7" s="305"/>
      <c r="Q7" s="306"/>
      <c r="R7"/>
      <c r="S7"/>
      <c r="T7"/>
      <c r="U7"/>
      <c r="V7"/>
      <c r="W7"/>
      <c r="X7"/>
      <c r="Y7"/>
      <c r="Z7"/>
      <c r="AA7"/>
      <c r="AB7"/>
      <c r="AC7"/>
      <c r="AD7"/>
      <c r="AE7"/>
      <c r="AF7"/>
      <c r="AG7"/>
      <c r="AH7"/>
      <c r="AI7"/>
      <c r="AJ7"/>
      <c r="AK7"/>
      <c r="AL7"/>
      <c r="AM7"/>
    </row>
    <row r="8" spans="1:39" ht="33" customHeight="1">
      <c r="A8"/>
      <c r="C8" s="151" t="s">
        <v>195</v>
      </c>
      <c r="D8" s="152" t="s">
        <v>196</v>
      </c>
      <c r="E8" s="152" t="s">
        <v>94</v>
      </c>
      <c r="F8" s="152" t="s">
        <v>197</v>
      </c>
      <c r="G8" s="152" t="s">
        <v>250</v>
      </c>
      <c r="H8" s="152" t="s">
        <v>66</v>
      </c>
      <c r="I8" s="152" t="s">
        <v>198</v>
      </c>
      <c r="K8" s="151" t="s">
        <v>195</v>
      </c>
      <c r="L8" s="152" t="s">
        <v>196</v>
      </c>
      <c r="M8" s="152" t="s">
        <v>94</v>
      </c>
      <c r="N8" s="152" t="s">
        <v>197</v>
      </c>
      <c r="O8" s="152" t="s">
        <v>251</v>
      </c>
      <c r="P8" s="152" t="s">
        <v>66</v>
      </c>
      <c r="Q8" s="184" t="s">
        <v>300</v>
      </c>
      <c r="R8"/>
      <c r="S8"/>
      <c r="T8"/>
      <c r="U8"/>
      <c r="V8"/>
      <c r="W8"/>
      <c r="X8"/>
      <c r="Y8"/>
      <c r="Z8"/>
      <c r="AA8"/>
      <c r="AB8"/>
      <c r="AC8"/>
      <c r="AD8"/>
      <c r="AE8"/>
      <c r="AF8"/>
      <c r="AG8"/>
      <c r="AH8"/>
      <c r="AI8"/>
      <c r="AJ8"/>
      <c r="AK8"/>
      <c r="AL8"/>
      <c r="AM8"/>
    </row>
    <row r="9" spans="1:39" ht="27" customHeight="1">
      <c r="A9"/>
      <c r="C9" s="153">
        <v>1</v>
      </c>
      <c r="D9" s="154" t="s">
        <v>17</v>
      </c>
      <c r="E9" s="155">
        <v>45915</v>
      </c>
      <c r="F9" s="155">
        <v>46012</v>
      </c>
      <c r="G9" s="156"/>
      <c r="H9" s="156"/>
      <c r="I9" s="153" t="s">
        <v>199</v>
      </c>
      <c r="K9" s="153">
        <v>1</v>
      </c>
      <c r="L9" s="154" t="s">
        <v>17</v>
      </c>
      <c r="M9" s="155">
        <v>45920</v>
      </c>
      <c r="N9" s="155"/>
      <c r="O9" s="156"/>
      <c r="P9" s="179"/>
      <c r="Q9" s="185">
        <f>SUM(Q10,Q13,Q22,Q29)</f>
        <v>16.899999999999999</v>
      </c>
      <c r="R9"/>
      <c r="S9"/>
      <c r="T9"/>
      <c r="U9"/>
      <c r="V9"/>
      <c r="W9"/>
      <c r="X9"/>
      <c r="Y9"/>
      <c r="Z9"/>
      <c r="AA9"/>
      <c r="AB9"/>
      <c r="AC9"/>
      <c r="AD9"/>
      <c r="AE9"/>
      <c r="AF9"/>
      <c r="AG9"/>
      <c r="AH9"/>
      <c r="AI9"/>
      <c r="AJ9"/>
      <c r="AK9"/>
      <c r="AL9"/>
      <c r="AM9"/>
    </row>
    <row r="10" spans="1:39" ht="27" customHeight="1">
      <c r="A10"/>
      <c r="C10" s="157">
        <v>2</v>
      </c>
      <c r="D10" s="158" t="s">
        <v>200</v>
      </c>
      <c r="E10" s="159">
        <v>45915</v>
      </c>
      <c r="F10" s="159">
        <v>45928</v>
      </c>
      <c r="G10" s="160"/>
      <c r="H10" s="160"/>
      <c r="I10" s="157" t="s">
        <v>201</v>
      </c>
      <c r="K10" s="157">
        <v>2</v>
      </c>
      <c r="L10" s="158" t="s">
        <v>200</v>
      </c>
      <c r="M10" s="159">
        <v>45920</v>
      </c>
      <c r="N10" s="159"/>
      <c r="O10" s="160"/>
      <c r="P10" s="160"/>
      <c r="Q10" s="186">
        <v>4</v>
      </c>
      <c r="R10"/>
      <c r="S10"/>
      <c r="T10"/>
      <c r="U10"/>
      <c r="V10"/>
      <c r="W10"/>
      <c r="X10"/>
      <c r="Y10"/>
      <c r="Z10"/>
      <c r="AA10"/>
      <c r="AB10"/>
      <c r="AC10"/>
      <c r="AD10"/>
      <c r="AE10"/>
      <c r="AF10"/>
      <c r="AG10"/>
      <c r="AH10"/>
      <c r="AI10"/>
      <c r="AJ10"/>
      <c r="AK10"/>
      <c r="AL10"/>
      <c r="AM10"/>
    </row>
    <row r="11" spans="1:39" ht="27" customHeight="1">
      <c r="A11"/>
      <c r="C11" s="161">
        <v>3</v>
      </c>
      <c r="D11" s="162" t="s">
        <v>202</v>
      </c>
      <c r="E11" s="163">
        <v>45915</v>
      </c>
      <c r="F11" s="163">
        <v>45921</v>
      </c>
      <c r="G11" s="161" t="s">
        <v>203</v>
      </c>
      <c r="H11" s="162" t="s">
        <v>204</v>
      </c>
      <c r="I11" s="161" t="s">
        <v>205</v>
      </c>
      <c r="K11" s="161">
        <v>3</v>
      </c>
      <c r="L11" s="162" t="s">
        <v>202</v>
      </c>
      <c r="M11" s="163">
        <v>45920</v>
      </c>
      <c r="N11" s="163">
        <v>45928</v>
      </c>
      <c r="O11" s="161" t="s">
        <v>203</v>
      </c>
      <c r="P11" s="162" t="s">
        <v>204</v>
      </c>
      <c r="Q11" s="180" t="s">
        <v>273</v>
      </c>
      <c r="R11"/>
      <c r="S11"/>
      <c r="T11"/>
      <c r="U11"/>
      <c r="V11"/>
      <c r="W11"/>
      <c r="X11"/>
      <c r="Y11"/>
      <c r="Z11"/>
      <c r="AA11"/>
      <c r="AB11"/>
      <c r="AC11"/>
      <c r="AD11"/>
      <c r="AE11"/>
      <c r="AF11"/>
      <c r="AG11"/>
      <c r="AH11"/>
      <c r="AI11"/>
      <c r="AJ11"/>
      <c r="AK11"/>
      <c r="AL11"/>
      <c r="AM11"/>
    </row>
    <row r="12" spans="1:39" ht="27" customHeight="1">
      <c r="A12"/>
      <c r="C12" s="161">
        <v>4</v>
      </c>
      <c r="D12" s="162" t="s">
        <v>206</v>
      </c>
      <c r="E12" s="163">
        <v>45924</v>
      </c>
      <c r="F12" s="163">
        <v>45928</v>
      </c>
      <c r="G12" s="161">
        <v>3</v>
      </c>
      <c r="H12" s="162" t="s">
        <v>207</v>
      </c>
      <c r="I12" s="161" t="s">
        <v>208</v>
      </c>
      <c r="K12" s="161">
        <v>4</v>
      </c>
      <c r="L12" s="162" t="s">
        <v>206</v>
      </c>
      <c r="M12" s="163">
        <v>45924</v>
      </c>
      <c r="N12" s="163">
        <v>45942</v>
      </c>
      <c r="O12" s="161">
        <v>3</v>
      </c>
      <c r="P12" s="162" t="s">
        <v>207</v>
      </c>
      <c r="Q12" s="180" t="s">
        <v>273</v>
      </c>
      <c r="R12"/>
      <c r="S12"/>
      <c r="T12"/>
      <c r="U12"/>
      <c r="V12"/>
      <c r="W12"/>
      <c r="X12"/>
      <c r="Y12"/>
      <c r="Z12"/>
      <c r="AA12"/>
      <c r="AB12"/>
      <c r="AC12"/>
      <c r="AD12"/>
      <c r="AE12"/>
      <c r="AF12"/>
      <c r="AG12"/>
      <c r="AH12"/>
      <c r="AI12"/>
      <c r="AJ12"/>
      <c r="AK12"/>
      <c r="AL12"/>
      <c r="AM12"/>
    </row>
    <row r="13" spans="1:39" ht="27" customHeight="1">
      <c r="A13"/>
      <c r="C13" s="164">
        <v>5</v>
      </c>
      <c r="D13" s="165" t="s">
        <v>209</v>
      </c>
      <c r="E13" s="166">
        <v>45945</v>
      </c>
      <c r="F13" s="166">
        <v>45956</v>
      </c>
      <c r="G13" s="167"/>
      <c r="H13" s="168"/>
      <c r="I13" s="164" t="s">
        <v>210</v>
      </c>
      <c r="K13" s="164">
        <v>5</v>
      </c>
      <c r="L13" s="165" t="s">
        <v>209</v>
      </c>
      <c r="M13" s="166">
        <v>45932</v>
      </c>
      <c r="N13" s="166">
        <v>45950</v>
      </c>
      <c r="O13" s="167"/>
      <c r="P13" s="168"/>
      <c r="Q13" s="187">
        <f>SUM(Q14:Q21)</f>
        <v>6.7</v>
      </c>
      <c r="R13"/>
      <c r="S13"/>
      <c r="T13"/>
      <c r="U13"/>
      <c r="V13"/>
      <c r="W13"/>
      <c r="X13"/>
      <c r="Y13"/>
      <c r="Z13"/>
      <c r="AA13"/>
      <c r="AB13"/>
      <c r="AC13"/>
      <c r="AD13"/>
      <c r="AE13"/>
      <c r="AF13"/>
      <c r="AG13"/>
      <c r="AH13"/>
      <c r="AI13"/>
      <c r="AJ13"/>
      <c r="AK13"/>
      <c r="AL13"/>
      <c r="AM13"/>
    </row>
    <row r="14" spans="1:39" ht="27" customHeight="1">
      <c r="A14"/>
      <c r="C14" s="161">
        <v>6</v>
      </c>
      <c r="D14" s="162" t="s">
        <v>211</v>
      </c>
      <c r="E14" s="163">
        <v>45945</v>
      </c>
      <c r="F14" s="163">
        <v>45945</v>
      </c>
      <c r="G14" s="161" t="s">
        <v>203</v>
      </c>
      <c r="H14" s="162" t="s">
        <v>212</v>
      </c>
      <c r="I14" s="161" t="s">
        <v>213</v>
      </c>
      <c r="K14" s="161">
        <v>6</v>
      </c>
      <c r="L14" s="162" t="s">
        <v>211</v>
      </c>
      <c r="M14" s="163">
        <v>45932</v>
      </c>
      <c r="N14" s="163">
        <v>45934</v>
      </c>
      <c r="O14" s="161"/>
      <c r="P14" s="162" t="s">
        <v>212</v>
      </c>
      <c r="Q14" s="180">
        <v>2</v>
      </c>
      <c r="R14"/>
      <c r="S14"/>
      <c r="T14"/>
      <c r="U14"/>
      <c r="V14"/>
      <c r="W14"/>
      <c r="X14"/>
      <c r="Y14"/>
      <c r="Z14"/>
      <c r="AA14"/>
      <c r="AB14"/>
      <c r="AC14"/>
      <c r="AD14"/>
      <c r="AE14"/>
      <c r="AF14"/>
      <c r="AG14"/>
      <c r="AH14"/>
      <c r="AI14"/>
      <c r="AJ14"/>
      <c r="AK14"/>
      <c r="AL14"/>
      <c r="AM14"/>
    </row>
    <row r="15" spans="1:39" ht="27" customHeight="1">
      <c r="A15"/>
      <c r="C15" s="161">
        <v>7</v>
      </c>
      <c r="D15" s="162" t="s">
        <v>214</v>
      </c>
      <c r="E15" s="163">
        <v>45946</v>
      </c>
      <c r="F15" s="163">
        <v>45947</v>
      </c>
      <c r="G15" s="161">
        <v>6</v>
      </c>
      <c r="H15" s="162" t="s">
        <v>212</v>
      </c>
      <c r="I15" s="161" t="s">
        <v>208</v>
      </c>
      <c r="K15" s="161">
        <v>7</v>
      </c>
      <c r="L15" s="162" t="s">
        <v>214</v>
      </c>
      <c r="M15" s="163">
        <v>45932</v>
      </c>
      <c r="N15" s="163">
        <v>45935</v>
      </c>
      <c r="O15" s="161">
        <v>6</v>
      </c>
      <c r="P15" s="162" t="s">
        <v>212</v>
      </c>
      <c r="Q15" s="180">
        <v>1</v>
      </c>
      <c r="R15"/>
      <c r="S15"/>
      <c r="T15"/>
      <c r="U15"/>
      <c r="V15"/>
      <c r="W15"/>
      <c r="X15"/>
      <c r="Y15"/>
      <c r="Z15"/>
      <c r="AA15"/>
      <c r="AB15"/>
      <c r="AC15"/>
      <c r="AD15"/>
      <c r="AE15"/>
      <c r="AF15"/>
      <c r="AG15"/>
      <c r="AH15"/>
      <c r="AI15"/>
      <c r="AJ15"/>
      <c r="AK15"/>
      <c r="AL15"/>
      <c r="AM15"/>
    </row>
    <row r="16" spans="1:39" ht="40.799999999999997" customHeight="1">
      <c r="A16"/>
      <c r="C16" s="161">
        <v>8</v>
      </c>
      <c r="D16" s="162" t="s">
        <v>215</v>
      </c>
      <c r="E16" s="163">
        <v>45948</v>
      </c>
      <c r="F16" s="163">
        <v>45951</v>
      </c>
      <c r="G16" s="161">
        <v>7</v>
      </c>
      <c r="H16" s="162" t="s">
        <v>212</v>
      </c>
      <c r="I16" s="161" t="s">
        <v>208</v>
      </c>
      <c r="K16" s="161">
        <v>8</v>
      </c>
      <c r="L16" s="162" t="s">
        <v>215</v>
      </c>
      <c r="M16" s="163">
        <v>45936</v>
      </c>
      <c r="N16" s="163">
        <v>45939</v>
      </c>
      <c r="O16" s="161">
        <v>7</v>
      </c>
      <c r="P16" s="162" t="s">
        <v>212</v>
      </c>
      <c r="Q16" s="180">
        <v>1</v>
      </c>
      <c r="R16"/>
      <c r="S16"/>
      <c r="T16"/>
      <c r="U16"/>
      <c r="V16"/>
      <c r="W16"/>
      <c r="X16"/>
      <c r="Y16"/>
      <c r="Z16"/>
      <c r="AA16"/>
      <c r="AB16"/>
      <c r="AC16"/>
      <c r="AD16"/>
      <c r="AE16"/>
      <c r="AF16"/>
      <c r="AG16"/>
      <c r="AH16"/>
      <c r="AI16"/>
      <c r="AJ16"/>
      <c r="AK16"/>
      <c r="AL16"/>
      <c r="AM16"/>
    </row>
    <row r="17" spans="1:39" ht="27" customHeight="1">
      <c r="A17"/>
      <c r="C17" s="161">
        <v>9</v>
      </c>
      <c r="D17" s="162" t="s">
        <v>216</v>
      </c>
      <c r="E17" s="163">
        <v>45952</v>
      </c>
      <c r="F17" s="163">
        <v>45954</v>
      </c>
      <c r="G17" s="161">
        <v>7</v>
      </c>
      <c r="H17" s="162" t="s">
        <v>212</v>
      </c>
      <c r="I17" s="161" t="s">
        <v>205</v>
      </c>
      <c r="K17" s="161">
        <v>9</v>
      </c>
      <c r="L17" s="162" t="s">
        <v>268</v>
      </c>
      <c r="M17" s="163">
        <v>45940</v>
      </c>
      <c r="N17" s="163">
        <v>45940</v>
      </c>
      <c r="O17" s="161">
        <v>7</v>
      </c>
      <c r="P17" s="162" t="s">
        <v>274</v>
      </c>
      <c r="Q17" s="180">
        <v>0.6</v>
      </c>
      <c r="R17"/>
      <c r="S17"/>
      <c r="T17"/>
      <c r="U17"/>
      <c r="V17"/>
      <c r="W17"/>
      <c r="X17"/>
      <c r="Y17"/>
      <c r="Z17"/>
      <c r="AA17"/>
      <c r="AB17"/>
      <c r="AC17"/>
      <c r="AD17"/>
      <c r="AE17"/>
      <c r="AF17"/>
      <c r="AG17"/>
      <c r="AH17"/>
      <c r="AI17"/>
      <c r="AJ17"/>
      <c r="AK17"/>
      <c r="AL17"/>
      <c r="AM17"/>
    </row>
    <row r="18" spans="1:39" ht="27" customHeight="1">
      <c r="A18"/>
      <c r="C18" s="161">
        <v>10</v>
      </c>
      <c r="D18" s="162" t="s">
        <v>217</v>
      </c>
      <c r="E18" s="163">
        <v>45955</v>
      </c>
      <c r="F18" s="163">
        <v>45955</v>
      </c>
      <c r="G18" s="161" t="s">
        <v>218</v>
      </c>
      <c r="H18" s="162" t="s">
        <v>219</v>
      </c>
      <c r="I18" s="161" t="s">
        <v>220</v>
      </c>
      <c r="K18" s="161">
        <v>10</v>
      </c>
      <c r="L18" s="162" t="s">
        <v>269</v>
      </c>
      <c r="M18" s="163">
        <v>45941</v>
      </c>
      <c r="N18" s="163">
        <v>45941</v>
      </c>
      <c r="O18" s="161" t="s">
        <v>218</v>
      </c>
      <c r="P18" s="162" t="s">
        <v>275</v>
      </c>
      <c r="Q18" s="180">
        <v>0.4</v>
      </c>
      <c r="R18"/>
      <c r="S18"/>
      <c r="T18"/>
      <c r="U18"/>
      <c r="V18"/>
      <c r="W18"/>
      <c r="X18"/>
      <c r="Y18"/>
      <c r="Z18"/>
      <c r="AA18"/>
      <c r="AB18"/>
      <c r="AC18"/>
      <c r="AD18"/>
      <c r="AE18"/>
      <c r="AF18"/>
      <c r="AG18"/>
      <c r="AH18"/>
      <c r="AI18"/>
      <c r="AJ18"/>
      <c r="AK18"/>
      <c r="AL18"/>
      <c r="AM18"/>
    </row>
    <row r="19" spans="1:39" ht="27" customHeight="1">
      <c r="A19"/>
      <c r="C19" s="161">
        <v>11</v>
      </c>
      <c r="D19" s="162" t="s">
        <v>221</v>
      </c>
      <c r="E19" s="163">
        <v>45956</v>
      </c>
      <c r="F19" s="163">
        <v>45956</v>
      </c>
      <c r="G19" s="161" t="s">
        <v>222</v>
      </c>
      <c r="H19" s="162" t="s">
        <v>223</v>
      </c>
      <c r="I19" s="161" t="s">
        <v>220</v>
      </c>
      <c r="K19" s="161">
        <v>11</v>
      </c>
      <c r="L19" s="162" t="s">
        <v>270</v>
      </c>
      <c r="M19" s="163">
        <v>45942</v>
      </c>
      <c r="N19" s="163">
        <v>45942</v>
      </c>
      <c r="O19" s="161" t="s">
        <v>222</v>
      </c>
      <c r="P19" s="162" t="s">
        <v>223</v>
      </c>
      <c r="Q19" s="180">
        <v>0.4</v>
      </c>
      <c r="R19"/>
      <c r="S19"/>
      <c r="T19"/>
      <c r="U19"/>
      <c r="V19"/>
      <c r="W19"/>
      <c r="X19"/>
      <c r="Y19"/>
      <c r="Z19"/>
      <c r="AA19"/>
      <c r="AB19"/>
      <c r="AC19"/>
      <c r="AD19"/>
      <c r="AE19"/>
      <c r="AF19"/>
      <c r="AG19"/>
      <c r="AH19"/>
      <c r="AI19"/>
      <c r="AJ19"/>
      <c r="AK19"/>
      <c r="AL19"/>
      <c r="AM19"/>
    </row>
    <row r="20" spans="1:39" ht="27" customHeight="1">
      <c r="A20"/>
      <c r="C20" s="161">
        <v>12</v>
      </c>
      <c r="D20" s="162" t="s">
        <v>224</v>
      </c>
      <c r="E20" s="163">
        <v>45956</v>
      </c>
      <c r="F20" s="163">
        <v>45956</v>
      </c>
      <c r="G20" s="161" t="s">
        <v>225</v>
      </c>
      <c r="H20" s="162" t="s">
        <v>212</v>
      </c>
      <c r="I20" s="161" t="s">
        <v>226</v>
      </c>
      <c r="K20" s="161">
        <v>12</v>
      </c>
      <c r="L20" s="162" t="s">
        <v>272</v>
      </c>
      <c r="M20" s="163">
        <v>45944</v>
      </c>
      <c r="N20" s="163">
        <v>45944</v>
      </c>
      <c r="O20" s="161" t="s">
        <v>225</v>
      </c>
      <c r="P20" s="162" t="s">
        <v>212</v>
      </c>
      <c r="Q20" s="180">
        <v>0.5</v>
      </c>
      <c r="R20"/>
      <c r="S20"/>
      <c r="T20"/>
      <c r="U20"/>
      <c r="V20"/>
      <c r="W20"/>
      <c r="X20"/>
      <c r="Y20"/>
      <c r="Z20"/>
      <c r="AA20"/>
      <c r="AB20"/>
      <c r="AC20"/>
      <c r="AD20"/>
      <c r="AE20"/>
      <c r="AF20"/>
      <c r="AG20"/>
      <c r="AH20"/>
      <c r="AI20"/>
      <c r="AJ20"/>
      <c r="AK20"/>
      <c r="AL20"/>
      <c r="AM20"/>
    </row>
    <row r="21" spans="1:39" ht="27" customHeight="1">
      <c r="A21"/>
      <c r="C21" s="161"/>
      <c r="D21" s="162"/>
      <c r="E21" s="163"/>
      <c r="F21" s="163"/>
      <c r="G21" s="161"/>
      <c r="H21" s="162"/>
      <c r="I21" s="161"/>
      <c r="K21" s="161" t="s">
        <v>276</v>
      </c>
      <c r="L21" s="162" t="s">
        <v>271</v>
      </c>
      <c r="M21" s="163">
        <v>45950</v>
      </c>
      <c r="N21" s="163">
        <v>45950</v>
      </c>
      <c r="O21" s="161"/>
      <c r="P21" s="162" t="s">
        <v>275</v>
      </c>
      <c r="Q21" s="180">
        <v>0.8</v>
      </c>
      <c r="R21"/>
      <c r="S21"/>
      <c r="T21"/>
      <c r="U21"/>
      <c r="V21"/>
      <c r="W21"/>
      <c r="X21"/>
      <c r="Y21"/>
      <c r="Z21"/>
      <c r="AA21"/>
      <c r="AB21"/>
      <c r="AC21"/>
      <c r="AD21"/>
      <c r="AE21"/>
      <c r="AF21"/>
      <c r="AG21"/>
      <c r="AH21"/>
      <c r="AI21"/>
      <c r="AJ21"/>
      <c r="AK21"/>
      <c r="AL21"/>
      <c r="AM21"/>
    </row>
    <row r="22" spans="1:39" ht="27" customHeight="1">
      <c r="A22"/>
      <c r="C22" s="164">
        <v>13</v>
      </c>
      <c r="D22" s="165" t="s">
        <v>227</v>
      </c>
      <c r="E22" s="166">
        <v>45976</v>
      </c>
      <c r="F22" s="166">
        <v>45984</v>
      </c>
      <c r="G22" s="167"/>
      <c r="H22" s="168"/>
      <c r="I22" s="164" t="s">
        <v>228</v>
      </c>
      <c r="K22" s="164">
        <v>13</v>
      </c>
      <c r="L22" s="165" t="s">
        <v>227</v>
      </c>
      <c r="M22" s="166">
        <v>45964</v>
      </c>
      <c r="N22" s="166">
        <v>45978</v>
      </c>
      <c r="O22" s="167"/>
      <c r="P22" s="168"/>
      <c r="Q22" s="187">
        <f>SUM(Q23:Q28)</f>
        <v>6.2</v>
      </c>
      <c r="R22"/>
      <c r="S22"/>
      <c r="T22"/>
      <c r="U22"/>
      <c r="V22"/>
      <c r="W22"/>
      <c r="X22"/>
      <c r="Y22"/>
      <c r="Z22"/>
      <c r="AA22"/>
      <c r="AB22"/>
      <c r="AC22"/>
      <c r="AD22"/>
      <c r="AE22"/>
      <c r="AF22"/>
      <c r="AG22"/>
      <c r="AH22"/>
      <c r="AI22"/>
      <c r="AJ22"/>
      <c r="AK22"/>
      <c r="AL22"/>
      <c r="AM22"/>
    </row>
    <row r="23" spans="1:39" ht="27" customHeight="1">
      <c r="A23"/>
      <c r="C23" s="161">
        <v>14</v>
      </c>
      <c r="D23" s="162" t="s">
        <v>229</v>
      </c>
      <c r="E23" s="163">
        <v>45976</v>
      </c>
      <c r="F23" s="163">
        <v>45977</v>
      </c>
      <c r="G23" s="161">
        <v>7</v>
      </c>
      <c r="H23" s="162" t="s">
        <v>212</v>
      </c>
      <c r="I23" s="161" t="s">
        <v>205</v>
      </c>
      <c r="K23" s="161">
        <v>14</v>
      </c>
      <c r="L23" s="162" t="s">
        <v>229</v>
      </c>
      <c r="M23" s="163">
        <v>45967</v>
      </c>
      <c r="N23" s="163">
        <v>45969</v>
      </c>
      <c r="O23" s="161">
        <v>7</v>
      </c>
      <c r="P23" s="162" t="s">
        <v>212</v>
      </c>
      <c r="Q23" s="180">
        <v>1</v>
      </c>
      <c r="R23"/>
      <c r="S23"/>
      <c r="T23"/>
      <c r="U23"/>
      <c r="V23"/>
      <c r="W23"/>
      <c r="X23"/>
      <c r="Y23"/>
      <c r="Z23"/>
      <c r="AA23"/>
      <c r="AB23"/>
      <c r="AC23"/>
      <c r="AD23"/>
      <c r="AE23"/>
      <c r="AF23"/>
      <c r="AG23"/>
      <c r="AH23"/>
      <c r="AI23"/>
      <c r="AJ23"/>
      <c r="AK23"/>
      <c r="AL23"/>
      <c r="AM23"/>
    </row>
    <row r="24" spans="1:39" ht="27" customHeight="1">
      <c r="A24"/>
      <c r="C24" s="161"/>
      <c r="D24" s="162"/>
      <c r="E24" s="163"/>
      <c r="F24" s="163"/>
      <c r="G24" s="161"/>
      <c r="H24" s="162"/>
      <c r="I24" s="161"/>
      <c r="K24" s="175" t="s">
        <v>278</v>
      </c>
      <c r="L24" s="176" t="s">
        <v>279</v>
      </c>
      <c r="M24" s="177">
        <v>45968</v>
      </c>
      <c r="N24" s="177">
        <v>45970</v>
      </c>
      <c r="O24" s="178"/>
      <c r="P24" s="162" t="s">
        <v>219</v>
      </c>
      <c r="Q24" s="188">
        <v>1</v>
      </c>
      <c r="R24"/>
      <c r="S24"/>
      <c r="T24"/>
      <c r="U24"/>
      <c r="V24"/>
      <c r="W24"/>
      <c r="X24"/>
      <c r="Y24"/>
      <c r="Z24"/>
      <c r="AA24"/>
      <c r="AB24"/>
      <c r="AC24"/>
      <c r="AD24"/>
      <c r="AE24"/>
      <c r="AF24"/>
      <c r="AG24"/>
      <c r="AH24"/>
      <c r="AI24"/>
      <c r="AJ24"/>
      <c r="AK24"/>
      <c r="AL24"/>
      <c r="AM24"/>
    </row>
    <row r="25" spans="1:39" ht="27" customHeight="1">
      <c r="A25"/>
      <c r="C25" s="161">
        <v>15</v>
      </c>
      <c r="D25" s="162" t="s">
        <v>230</v>
      </c>
      <c r="E25" s="163">
        <v>45977</v>
      </c>
      <c r="F25" s="163">
        <v>45979</v>
      </c>
      <c r="G25" s="161" t="s">
        <v>231</v>
      </c>
      <c r="H25" s="162" t="s">
        <v>212</v>
      </c>
      <c r="I25" s="161" t="s">
        <v>232</v>
      </c>
      <c r="K25" s="161">
        <v>15</v>
      </c>
      <c r="L25" s="162" t="s">
        <v>230</v>
      </c>
      <c r="M25" s="163">
        <v>45970</v>
      </c>
      <c r="N25" s="163">
        <v>45974</v>
      </c>
      <c r="O25" s="161" t="s">
        <v>231</v>
      </c>
      <c r="P25" s="162" t="s">
        <v>212</v>
      </c>
      <c r="Q25" s="180">
        <v>1.5</v>
      </c>
      <c r="R25"/>
      <c r="S25"/>
      <c r="T25"/>
      <c r="U25"/>
      <c r="V25"/>
      <c r="W25"/>
      <c r="X25"/>
      <c r="Y25"/>
      <c r="Z25"/>
      <c r="AA25"/>
      <c r="AB25"/>
      <c r="AC25"/>
      <c r="AD25"/>
      <c r="AE25"/>
      <c r="AF25"/>
      <c r="AG25"/>
      <c r="AH25"/>
      <c r="AI25"/>
      <c r="AJ25"/>
      <c r="AK25"/>
      <c r="AL25"/>
      <c r="AM25"/>
    </row>
    <row r="26" spans="1:39" ht="27" customHeight="1">
      <c r="A26"/>
      <c r="C26" s="161">
        <v>16</v>
      </c>
      <c r="D26" s="162" t="s">
        <v>233</v>
      </c>
      <c r="E26" s="163">
        <v>45980</v>
      </c>
      <c r="F26" s="163">
        <v>45981</v>
      </c>
      <c r="G26" s="161" t="s">
        <v>234</v>
      </c>
      <c r="H26" s="162" t="s">
        <v>212</v>
      </c>
      <c r="I26" s="161" t="s">
        <v>208</v>
      </c>
      <c r="K26" s="161">
        <v>16</v>
      </c>
      <c r="L26" s="162" t="s">
        <v>233</v>
      </c>
      <c r="M26" s="163">
        <v>45975</v>
      </c>
      <c r="N26" s="163">
        <v>45977</v>
      </c>
      <c r="O26" s="161" t="s">
        <v>234</v>
      </c>
      <c r="P26" s="162" t="s">
        <v>212</v>
      </c>
      <c r="Q26" s="180">
        <v>1.5</v>
      </c>
      <c r="R26"/>
      <c r="S26"/>
      <c r="T26"/>
      <c r="U26"/>
      <c r="V26"/>
      <c r="W26"/>
      <c r="X26"/>
      <c r="Y26"/>
      <c r="Z26"/>
      <c r="AA26"/>
      <c r="AB26"/>
      <c r="AC26"/>
      <c r="AD26"/>
      <c r="AE26"/>
      <c r="AF26"/>
      <c r="AG26"/>
      <c r="AH26"/>
      <c r="AI26"/>
      <c r="AJ26"/>
      <c r="AK26"/>
      <c r="AL26"/>
      <c r="AM26"/>
    </row>
    <row r="27" spans="1:39" ht="27" customHeight="1">
      <c r="A27"/>
      <c r="C27" s="161">
        <v>17</v>
      </c>
      <c r="D27" s="162" t="s">
        <v>235</v>
      </c>
      <c r="E27" s="163">
        <v>45982</v>
      </c>
      <c r="F27" s="163">
        <v>45982</v>
      </c>
      <c r="G27" s="161" t="s">
        <v>236</v>
      </c>
      <c r="H27" s="162" t="s">
        <v>223</v>
      </c>
      <c r="I27" s="161" t="s">
        <v>220</v>
      </c>
      <c r="K27" s="161">
        <v>17</v>
      </c>
      <c r="L27" s="162" t="s">
        <v>235</v>
      </c>
      <c r="M27" s="163">
        <v>45977</v>
      </c>
      <c r="N27" s="163">
        <v>45977</v>
      </c>
      <c r="O27" s="161" t="s">
        <v>236</v>
      </c>
      <c r="P27" s="162" t="s">
        <v>223</v>
      </c>
      <c r="Q27" s="180">
        <v>0.8</v>
      </c>
      <c r="R27"/>
      <c r="S27"/>
      <c r="T27"/>
      <c r="U27"/>
      <c r="V27"/>
      <c r="W27"/>
      <c r="X27"/>
      <c r="Y27"/>
      <c r="Z27"/>
      <c r="AA27"/>
      <c r="AB27"/>
      <c r="AC27"/>
      <c r="AD27"/>
      <c r="AE27"/>
      <c r="AF27"/>
      <c r="AG27"/>
      <c r="AH27"/>
      <c r="AI27"/>
      <c r="AJ27"/>
      <c r="AK27"/>
      <c r="AL27"/>
      <c r="AM27"/>
    </row>
    <row r="28" spans="1:39" ht="27" customHeight="1">
      <c r="A28"/>
      <c r="C28" s="161">
        <v>18</v>
      </c>
      <c r="D28" s="162" t="s">
        <v>237</v>
      </c>
      <c r="E28" s="163">
        <v>45983</v>
      </c>
      <c r="F28" s="163">
        <v>45983</v>
      </c>
      <c r="G28" s="161" t="s">
        <v>238</v>
      </c>
      <c r="H28" s="162" t="s">
        <v>212</v>
      </c>
      <c r="I28" s="161" t="s">
        <v>220</v>
      </c>
      <c r="K28" s="161">
        <v>18</v>
      </c>
      <c r="L28" s="162" t="s">
        <v>237</v>
      </c>
      <c r="M28" s="163">
        <v>45978</v>
      </c>
      <c r="N28" s="163">
        <v>45978</v>
      </c>
      <c r="O28" s="161" t="s">
        <v>238</v>
      </c>
      <c r="P28" s="162" t="s">
        <v>212</v>
      </c>
      <c r="Q28" s="180">
        <v>0.4</v>
      </c>
      <c r="R28"/>
      <c r="S28"/>
      <c r="T28"/>
      <c r="U28"/>
      <c r="V28"/>
      <c r="W28"/>
      <c r="X28"/>
      <c r="Y28"/>
      <c r="Z28"/>
      <c r="AA28"/>
      <c r="AB28"/>
      <c r="AC28"/>
      <c r="AD28"/>
      <c r="AE28"/>
      <c r="AF28"/>
      <c r="AG28"/>
      <c r="AH28"/>
      <c r="AI28"/>
      <c r="AJ28"/>
      <c r="AK28"/>
      <c r="AL28"/>
      <c r="AM28"/>
    </row>
    <row r="29" spans="1:39" ht="27" customHeight="1">
      <c r="A29"/>
      <c r="C29" s="164">
        <v>19</v>
      </c>
      <c r="D29" s="165" t="s">
        <v>239</v>
      </c>
      <c r="E29" s="166">
        <v>46001</v>
      </c>
      <c r="F29" s="166">
        <v>46012</v>
      </c>
      <c r="G29" s="167"/>
      <c r="H29" s="168"/>
      <c r="I29" s="164" t="s">
        <v>240</v>
      </c>
      <c r="K29" s="164">
        <v>19</v>
      </c>
      <c r="L29" s="165" t="s">
        <v>239</v>
      </c>
      <c r="M29" s="166">
        <v>45992</v>
      </c>
      <c r="N29" s="166"/>
      <c r="O29" s="167"/>
      <c r="P29" s="168"/>
      <c r="Q29" s="187">
        <f>SUM(Q30:Q35)</f>
        <v>0</v>
      </c>
      <c r="R29"/>
      <c r="S29"/>
      <c r="T29"/>
      <c r="U29"/>
      <c r="V29"/>
      <c r="W29"/>
      <c r="X29"/>
      <c r="Y29"/>
      <c r="Z29"/>
      <c r="AA29"/>
      <c r="AB29"/>
      <c r="AC29"/>
      <c r="AD29"/>
      <c r="AE29"/>
      <c r="AF29"/>
      <c r="AG29"/>
      <c r="AH29"/>
      <c r="AI29"/>
      <c r="AJ29"/>
      <c r="AK29"/>
      <c r="AL29"/>
      <c r="AM29"/>
    </row>
    <row r="30" spans="1:39" ht="27" customHeight="1">
      <c r="A30"/>
      <c r="C30" s="161">
        <v>20</v>
      </c>
      <c r="D30" s="162" t="s">
        <v>241</v>
      </c>
      <c r="E30" s="163">
        <v>46001</v>
      </c>
      <c r="F30" s="163">
        <v>45941</v>
      </c>
      <c r="G30" s="161" t="s">
        <v>242</v>
      </c>
      <c r="H30" s="162" t="s">
        <v>212</v>
      </c>
      <c r="I30" s="161" t="s">
        <v>205</v>
      </c>
      <c r="K30" s="161"/>
      <c r="L30" s="162"/>
      <c r="M30" s="163"/>
      <c r="N30" s="163"/>
      <c r="O30" s="161"/>
      <c r="P30" s="162"/>
      <c r="Q30" s="180"/>
      <c r="R30"/>
      <c r="S30"/>
      <c r="T30"/>
      <c r="U30"/>
      <c r="V30"/>
      <c r="W30"/>
      <c r="X30"/>
      <c r="Y30"/>
      <c r="Z30"/>
      <c r="AA30"/>
      <c r="AB30"/>
      <c r="AC30"/>
      <c r="AD30"/>
      <c r="AE30"/>
      <c r="AF30"/>
      <c r="AG30"/>
      <c r="AH30"/>
      <c r="AI30"/>
      <c r="AJ30"/>
      <c r="AK30"/>
      <c r="AL30"/>
      <c r="AM30"/>
    </row>
    <row r="31" spans="1:39" ht="27" customHeight="1">
      <c r="A31"/>
      <c r="C31" s="307">
        <v>21</v>
      </c>
      <c r="D31" s="308" t="s">
        <v>243</v>
      </c>
      <c r="E31" s="309">
        <v>46003</v>
      </c>
      <c r="F31" s="309">
        <v>45943</v>
      </c>
      <c r="G31" s="161" t="s">
        <v>244</v>
      </c>
      <c r="H31" s="308" t="s">
        <v>212</v>
      </c>
      <c r="I31" s="307" t="s">
        <v>205</v>
      </c>
      <c r="K31" s="307"/>
      <c r="L31" s="162"/>
      <c r="M31" s="163"/>
      <c r="N31" s="163"/>
      <c r="O31" s="161"/>
      <c r="P31" s="162"/>
      <c r="Q31" s="180"/>
      <c r="R31"/>
      <c r="S31"/>
      <c r="T31"/>
      <c r="U31"/>
      <c r="V31"/>
      <c r="W31"/>
      <c r="X31"/>
      <c r="Y31"/>
      <c r="Z31"/>
      <c r="AA31"/>
      <c r="AB31"/>
      <c r="AC31"/>
      <c r="AD31"/>
      <c r="AE31"/>
      <c r="AF31"/>
      <c r="AG31"/>
      <c r="AH31"/>
      <c r="AI31"/>
      <c r="AJ31"/>
      <c r="AK31"/>
      <c r="AL31"/>
      <c r="AM31"/>
    </row>
    <row r="32" spans="1:39" ht="27" customHeight="1">
      <c r="A32"/>
      <c r="C32" s="307"/>
      <c r="D32" s="308"/>
      <c r="E32" s="309"/>
      <c r="F32" s="309"/>
      <c r="G32" s="161" t="s">
        <v>245</v>
      </c>
      <c r="H32" s="308"/>
      <c r="I32" s="307"/>
      <c r="K32" s="307"/>
      <c r="L32" s="162"/>
      <c r="M32" s="163"/>
      <c r="N32" s="163"/>
      <c r="O32" s="161"/>
      <c r="P32" s="162"/>
      <c r="Q32" s="180"/>
      <c r="R32"/>
      <c r="S32"/>
      <c r="T32"/>
      <c r="U32"/>
      <c r="V32"/>
      <c r="W32"/>
      <c r="X32"/>
      <c r="Y32"/>
      <c r="Z32"/>
      <c r="AA32"/>
      <c r="AB32"/>
      <c r="AC32"/>
      <c r="AD32"/>
      <c r="AE32"/>
      <c r="AF32"/>
      <c r="AG32"/>
      <c r="AH32"/>
      <c r="AI32"/>
      <c r="AJ32"/>
      <c r="AK32"/>
      <c r="AL32"/>
      <c r="AM32"/>
    </row>
    <row r="33" spans="1:39" ht="27" customHeight="1">
      <c r="A33"/>
      <c r="C33" s="161">
        <v>22</v>
      </c>
      <c r="D33" s="162" t="s">
        <v>246</v>
      </c>
      <c r="E33" s="163">
        <v>46003</v>
      </c>
      <c r="F33" s="163">
        <v>45943</v>
      </c>
      <c r="G33" s="161" t="s">
        <v>203</v>
      </c>
      <c r="H33" s="162" t="s">
        <v>212</v>
      </c>
      <c r="I33" s="161" t="s">
        <v>232</v>
      </c>
      <c r="K33" s="161"/>
      <c r="L33" s="162"/>
      <c r="M33" s="163"/>
      <c r="N33" s="163"/>
      <c r="O33" s="161"/>
      <c r="P33" s="162"/>
      <c r="Q33" s="180"/>
      <c r="R33"/>
      <c r="S33"/>
      <c r="T33"/>
      <c r="U33"/>
      <c r="V33"/>
      <c r="W33"/>
      <c r="X33"/>
      <c r="Y33"/>
      <c r="Z33"/>
      <c r="AA33"/>
      <c r="AB33"/>
      <c r="AC33"/>
      <c r="AD33"/>
      <c r="AE33"/>
      <c r="AF33"/>
      <c r="AG33"/>
      <c r="AH33"/>
      <c r="AI33"/>
      <c r="AJ33"/>
      <c r="AK33"/>
      <c r="AL33"/>
      <c r="AM33"/>
    </row>
    <row r="34" spans="1:39" ht="27" customHeight="1">
      <c r="A34"/>
      <c r="C34" s="161">
        <v>23</v>
      </c>
      <c r="D34" s="162" t="s">
        <v>247</v>
      </c>
      <c r="E34" s="163">
        <v>46006</v>
      </c>
      <c r="F34" s="163">
        <v>45946</v>
      </c>
      <c r="G34" s="161" t="s">
        <v>203</v>
      </c>
      <c r="H34" s="162" t="s">
        <v>212</v>
      </c>
      <c r="I34" s="161" t="s">
        <v>205</v>
      </c>
      <c r="K34" s="161"/>
      <c r="L34" s="162"/>
      <c r="M34" s="163"/>
      <c r="N34" s="163"/>
      <c r="O34" s="161"/>
      <c r="P34" s="162"/>
      <c r="Q34" s="180"/>
      <c r="R34"/>
      <c r="S34"/>
      <c r="T34"/>
      <c r="U34"/>
      <c r="V34"/>
      <c r="W34"/>
      <c r="X34"/>
      <c r="Y34"/>
      <c r="Z34"/>
      <c r="AA34"/>
      <c r="AB34"/>
      <c r="AC34"/>
      <c r="AD34"/>
      <c r="AE34"/>
      <c r="AF34"/>
      <c r="AG34"/>
      <c r="AH34"/>
      <c r="AI34"/>
      <c r="AJ34"/>
      <c r="AK34"/>
      <c r="AL34"/>
      <c r="AM34"/>
    </row>
    <row r="35" spans="1:39" ht="27" customHeight="1">
      <c r="A35"/>
      <c r="C35" s="161">
        <v>24</v>
      </c>
      <c r="D35" s="162" t="s">
        <v>248</v>
      </c>
      <c r="E35" s="163">
        <v>46009</v>
      </c>
      <c r="F35" s="163">
        <v>45950</v>
      </c>
      <c r="G35" s="161" t="s">
        <v>249</v>
      </c>
      <c r="H35" s="162" t="s">
        <v>212</v>
      </c>
      <c r="I35" s="161" t="s">
        <v>205</v>
      </c>
      <c r="K35" s="161"/>
      <c r="L35" s="162"/>
      <c r="M35" s="163"/>
      <c r="N35" s="163"/>
      <c r="O35" s="161"/>
      <c r="P35" s="162"/>
      <c r="Q35" s="180"/>
      <c r="R35"/>
      <c r="S35"/>
      <c r="T35"/>
      <c r="U35"/>
      <c r="V35"/>
      <c r="W35"/>
      <c r="X35"/>
      <c r="Y35"/>
      <c r="Z35"/>
      <c r="AA35"/>
      <c r="AB35"/>
      <c r="AC35"/>
      <c r="AD35"/>
      <c r="AE35"/>
      <c r="AF35"/>
      <c r="AG35"/>
      <c r="AH35"/>
      <c r="AI35"/>
      <c r="AJ35"/>
      <c r="AK35"/>
      <c r="AL35"/>
      <c r="AM35"/>
    </row>
    <row r="36" spans="1:39">
      <c r="A36"/>
      <c r="R36"/>
      <c r="S36"/>
      <c r="T36"/>
      <c r="U36"/>
      <c r="V36"/>
      <c r="W36"/>
      <c r="X36"/>
      <c r="Y36"/>
      <c r="Z36"/>
      <c r="AA36"/>
      <c r="AB36"/>
      <c r="AC36"/>
      <c r="AD36"/>
      <c r="AE36"/>
      <c r="AF36"/>
      <c r="AG36"/>
      <c r="AH36"/>
      <c r="AI36"/>
      <c r="AJ36"/>
      <c r="AK36"/>
      <c r="AL36"/>
      <c r="AM36"/>
    </row>
    <row r="37" spans="1:39">
      <c r="A37"/>
      <c r="R37"/>
      <c r="S37"/>
      <c r="T37"/>
      <c r="U37"/>
      <c r="V37"/>
      <c r="W37"/>
      <c r="X37"/>
      <c r="Y37"/>
      <c r="Z37"/>
      <c r="AA37"/>
      <c r="AB37"/>
      <c r="AC37"/>
      <c r="AD37"/>
      <c r="AE37"/>
      <c r="AF37"/>
      <c r="AG37"/>
      <c r="AH37"/>
      <c r="AI37"/>
      <c r="AJ37"/>
      <c r="AK37"/>
      <c r="AL37"/>
      <c r="AM37"/>
    </row>
    <row r="38" spans="1:39">
      <c r="A38"/>
      <c r="R38"/>
      <c r="S38"/>
      <c r="T38"/>
      <c r="U38"/>
      <c r="V38"/>
      <c r="W38"/>
      <c r="X38"/>
      <c r="Y38"/>
      <c r="Z38"/>
      <c r="AA38"/>
      <c r="AB38"/>
      <c r="AC38"/>
      <c r="AD38"/>
      <c r="AE38"/>
      <c r="AF38"/>
      <c r="AG38"/>
      <c r="AH38"/>
      <c r="AI38"/>
      <c r="AJ38"/>
      <c r="AK38"/>
      <c r="AL38"/>
      <c r="AM38"/>
    </row>
    <row r="39" spans="1:39">
      <c r="A39"/>
      <c r="R39"/>
      <c r="S39"/>
      <c r="T39"/>
      <c r="U39"/>
      <c r="V39"/>
      <c r="W39"/>
      <c r="X39"/>
      <c r="Y39"/>
      <c r="Z39"/>
      <c r="AA39"/>
      <c r="AB39"/>
      <c r="AC39"/>
      <c r="AD39"/>
      <c r="AE39"/>
      <c r="AF39"/>
      <c r="AG39"/>
      <c r="AH39"/>
      <c r="AI39"/>
      <c r="AJ39"/>
      <c r="AK39"/>
      <c r="AL39"/>
      <c r="AM39"/>
    </row>
    <row r="40" spans="1:39">
      <c r="A40"/>
      <c r="R40"/>
      <c r="S40"/>
      <c r="T40"/>
      <c r="U40"/>
      <c r="V40"/>
      <c r="W40"/>
      <c r="X40"/>
      <c r="Y40"/>
      <c r="Z40"/>
      <c r="AA40"/>
      <c r="AB40"/>
      <c r="AC40"/>
      <c r="AD40"/>
      <c r="AE40"/>
      <c r="AF40"/>
      <c r="AG40"/>
      <c r="AH40"/>
      <c r="AI40"/>
      <c r="AJ40"/>
      <c r="AK40"/>
      <c r="AL40"/>
      <c r="AM40"/>
    </row>
    <row r="41" spans="1:39">
      <c r="A41"/>
      <c r="R41"/>
      <c r="S41"/>
      <c r="T41"/>
      <c r="U41"/>
      <c r="V41"/>
      <c r="W41"/>
      <c r="X41"/>
      <c r="Y41"/>
      <c r="Z41"/>
      <c r="AA41"/>
      <c r="AB41"/>
      <c r="AC41"/>
      <c r="AD41"/>
      <c r="AE41"/>
      <c r="AF41"/>
      <c r="AG41"/>
      <c r="AH41"/>
      <c r="AI41"/>
      <c r="AJ41"/>
      <c r="AK41"/>
      <c r="AL41"/>
      <c r="AM41"/>
    </row>
    <row r="42" spans="1:39">
      <c r="A42"/>
      <c r="R42"/>
      <c r="S42"/>
      <c r="T42"/>
      <c r="U42"/>
      <c r="V42"/>
      <c r="W42"/>
      <c r="X42"/>
      <c r="Y42"/>
      <c r="Z42"/>
      <c r="AA42"/>
      <c r="AB42"/>
      <c r="AC42"/>
      <c r="AD42"/>
      <c r="AE42"/>
      <c r="AF42"/>
      <c r="AG42"/>
      <c r="AH42"/>
      <c r="AI42"/>
      <c r="AJ42"/>
      <c r="AK42"/>
      <c r="AL42"/>
      <c r="AM42"/>
    </row>
    <row r="43" spans="1:39">
      <c r="A43"/>
      <c r="R43"/>
      <c r="S43"/>
      <c r="T43"/>
      <c r="U43"/>
      <c r="V43"/>
      <c r="W43"/>
      <c r="X43"/>
      <c r="Y43"/>
      <c r="Z43"/>
      <c r="AA43"/>
      <c r="AB43"/>
      <c r="AC43"/>
      <c r="AD43"/>
      <c r="AE43"/>
      <c r="AF43"/>
      <c r="AG43"/>
      <c r="AH43"/>
      <c r="AI43"/>
      <c r="AJ43"/>
      <c r="AK43"/>
      <c r="AL43"/>
      <c r="AM43"/>
    </row>
    <row r="44" spans="1:39">
      <c r="A44"/>
      <c r="R44"/>
      <c r="S44"/>
      <c r="T44"/>
      <c r="U44"/>
      <c r="V44"/>
      <c r="W44"/>
      <c r="X44"/>
      <c r="Y44"/>
      <c r="Z44"/>
      <c r="AA44"/>
      <c r="AB44"/>
      <c r="AC44"/>
      <c r="AD44"/>
      <c r="AE44"/>
      <c r="AF44"/>
      <c r="AG44"/>
      <c r="AH44"/>
      <c r="AI44"/>
      <c r="AJ44"/>
      <c r="AK44"/>
      <c r="AL44"/>
      <c r="AM44"/>
    </row>
    <row r="45" spans="1:39">
      <c r="A45"/>
      <c r="R45"/>
      <c r="S45"/>
      <c r="T45"/>
      <c r="U45"/>
      <c r="V45"/>
      <c r="W45"/>
      <c r="X45"/>
      <c r="Y45"/>
      <c r="Z45"/>
      <c r="AA45"/>
      <c r="AB45"/>
      <c r="AC45"/>
      <c r="AD45"/>
      <c r="AE45"/>
      <c r="AF45"/>
      <c r="AG45"/>
      <c r="AH45"/>
      <c r="AI45"/>
      <c r="AJ45"/>
      <c r="AK45"/>
      <c r="AL45"/>
      <c r="AM45"/>
    </row>
    <row r="46" spans="1:39">
      <c r="A46"/>
      <c r="R46"/>
      <c r="S46"/>
      <c r="T46"/>
      <c r="U46"/>
      <c r="V46"/>
      <c r="W46"/>
      <c r="X46"/>
      <c r="Y46"/>
      <c r="Z46"/>
      <c r="AA46"/>
      <c r="AB46"/>
      <c r="AC46"/>
      <c r="AD46"/>
      <c r="AE46"/>
      <c r="AF46"/>
      <c r="AG46"/>
      <c r="AH46"/>
      <c r="AI46"/>
      <c r="AJ46"/>
      <c r="AK46"/>
      <c r="AL46"/>
      <c r="AM46"/>
    </row>
    <row r="47" spans="1:39">
      <c r="A47"/>
      <c r="R47"/>
      <c r="S47"/>
      <c r="T47"/>
      <c r="U47"/>
      <c r="V47"/>
      <c r="W47"/>
      <c r="X47"/>
      <c r="Y47"/>
      <c r="Z47"/>
      <c r="AA47"/>
      <c r="AB47"/>
      <c r="AC47"/>
      <c r="AD47"/>
      <c r="AE47"/>
      <c r="AF47"/>
      <c r="AG47"/>
      <c r="AH47"/>
      <c r="AI47"/>
      <c r="AJ47"/>
      <c r="AK47"/>
      <c r="AL47"/>
      <c r="AM47"/>
    </row>
    <row r="48" spans="1:39">
      <c r="A48"/>
      <c r="R48"/>
      <c r="S48"/>
      <c r="T48"/>
      <c r="U48"/>
      <c r="V48"/>
      <c r="W48"/>
      <c r="X48"/>
      <c r="Y48"/>
      <c r="Z48"/>
      <c r="AA48"/>
      <c r="AB48"/>
      <c r="AC48"/>
      <c r="AD48"/>
      <c r="AE48"/>
      <c r="AF48"/>
      <c r="AG48"/>
      <c r="AH48"/>
      <c r="AI48"/>
      <c r="AJ48"/>
      <c r="AK48"/>
      <c r="AL48"/>
      <c r="AM48"/>
    </row>
    <row r="49" spans="1:39">
      <c r="A49"/>
      <c r="R49"/>
      <c r="S49"/>
      <c r="T49"/>
      <c r="U49"/>
      <c r="V49"/>
      <c r="W49"/>
      <c r="X49"/>
      <c r="Y49"/>
      <c r="Z49"/>
      <c r="AA49"/>
      <c r="AB49"/>
      <c r="AC49"/>
      <c r="AD49"/>
      <c r="AE49"/>
      <c r="AF49"/>
      <c r="AG49"/>
      <c r="AH49"/>
      <c r="AI49"/>
      <c r="AJ49"/>
      <c r="AK49"/>
      <c r="AL49"/>
      <c r="AM49"/>
    </row>
    <row r="50" spans="1:39">
      <c r="A50"/>
      <c r="B50"/>
      <c r="C50"/>
      <c r="D50"/>
      <c r="E50"/>
      <c r="F50"/>
      <c r="G50"/>
      <c r="H50"/>
      <c r="I50"/>
      <c r="J50"/>
      <c r="K50"/>
      <c r="L50"/>
      <c r="M50"/>
      <c r="N50"/>
      <c r="O50"/>
      <c r="P50"/>
      <c r="Q50" s="183"/>
      <c r="R50"/>
      <c r="S50"/>
      <c r="T50"/>
      <c r="U50"/>
      <c r="V50"/>
      <c r="W50"/>
      <c r="X50"/>
      <c r="Y50"/>
      <c r="Z50"/>
      <c r="AA50"/>
      <c r="AB50"/>
      <c r="AC50"/>
      <c r="AD50"/>
      <c r="AE50"/>
      <c r="AF50"/>
      <c r="AG50"/>
      <c r="AH50"/>
      <c r="AI50"/>
      <c r="AJ50"/>
      <c r="AK50"/>
      <c r="AL50"/>
      <c r="AM50"/>
    </row>
    <row r="51" spans="1:39">
      <c r="A51"/>
      <c r="B51"/>
      <c r="C51"/>
      <c r="D51"/>
      <c r="E51"/>
      <c r="F51"/>
      <c r="G51"/>
      <c r="H51"/>
      <c r="I51"/>
      <c r="J51"/>
      <c r="K51"/>
      <c r="L51"/>
      <c r="M51"/>
      <c r="N51"/>
      <c r="O51"/>
      <c r="P51"/>
      <c r="Q51" s="183"/>
      <c r="R51"/>
      <c r="S51"/>
      <c r="T51"/>
      <c r="U51"/>
      <c r="V51"/>
      <c r="W51"/>
      <c r="X51"/>
      <c r="Y51"/>
      <c r="Z51"/>
      <c r="AA51"/>
      <c r="AB51"/>
      <c r="AC51"/>
      <c r="AD51"/>
      <c r="AE51"/>
      <c r="AF51"/>
      <c r="AG51"/>
      <c r="AH51"/>
      <c r="AI51"/>
      <c r="AJ51"/>
      <c r="AK51"/>
      <c r="AL51"/>
      <c r="AM51"/>
    </row>
    <row r="52" spans="1:39">
      <c r="A52"/>
      <c r="B52"/>
      <c r="C52"/>
      <c r="D52"/>
      <c r="E52"/>
      <c r="F52"/>
      <c r="G52"/>
      <c r="H52"/>
      <c r="I52"/>
      <c r="J52"/>
      <c r="K52"/>
      <c r="L52"/>
      <c r="M52"/>
      <c r="N52"/>
      <c r="O52"/>
      <c r="P52"/>
      <c r="Q52" s="183"/>
      <c r="R52"/>
      <c r="S52"/>
      <c r="T52"/>
      <c r="U52"/>
      <c r="V52"/>
      <c r="W52"/>
      <c r="X52"/>
      <c r="Y52"/>
      <c r="Z52"/>
      <c r="AA52"/>
      <c r="AB52"/>
      <c r="AC52"/>
      <c r="AD52"/>
      <c r="AE52"/>
      <c r="AF52"/>
      <c r="AG52"/>
      <c r="AH52"/>
      <c r="AI52"/>
      <c r="AJ52"/>
      <c r="AK52"/>
      <c r="AL52"/>
      <c r="AM52"/>
    </row>
    <row r="53" spans="1:39">
      <c r="A53"/>
      <c r="B53"/>
      <c r="C53"/>
      <c r="D53"/>
      <c r="E53"/>
      <c r="F53"/>
      <c r="G53"/>
      <c r="H53"/>
      <c r="I53"/>
      <c r="J53"/>
      <c r="K53"/>
      <c r="L53"/>
      <c r="M53"/>
      <c r="N53"/>
      <c r="O53"/>
      <c r="P53"/>
      <c r="Q53" s="183"/>
      <c r="R53"/>
      <c r="S53"/>
      <c r="T53"/>
      <c r="U53"/>
      <c r="V53"/>
      <c r="W53"/>
      <c r="X53"/>
      <c r="Y53"/>
      <c r="Z53"/>
      <c r="AA53"/>
      <c r="AB53"/>
      <c r="AC53"/>
      <c r="AD53"/>
      <c r="AE53"/>
      <c r="AF53"/>
      <c r="AG53"/>
      <c r="AH53"/>
      <c r="AI53"/>
      <c r="AJ53"/>
      <c r="AK53"/>
      <c r="AL53"/>
      <c r="AM53"/>
    </row>
    <row r="54" spans="1:39">
      <c r="A54"/>
      <c r="B54"/>
      <c r="C54"/>
      <c r="D54"/>
      <c r="E54"/>
      <c r="F54"/>
      <c r="G54"/>
      <c r="H54"/>
      <c r="I54"/>
      <c r="J54"/>
      <c r="K54"/>
      <c r="L54"/>
      <c r="M54"/>
      <c r="N54"/>
      <c r="O54"/>
      <c r="P54"/>
      <c r="Q54" s="183"/>
      <c r="R54"/>
      <c r="S54"/>
      <c r="T54"/>
      <c r="U54"/>
      <c r="V54"/>
      <c r="W54"/>
      <c r="X54"/>
      <c r="Y54"/>
      <c r="Z54"/>
      <c r="AA54"/>
      <c r="AB54"/>
      <c r="AC54"/>
      <c r="AD54"/>
      <c r="AE54"/>
      <c r="AF54"/>
      <c r="AG54"/>
      <c r="AH54"/>
      <c r="AI54"/>
      <c r="AJ54"/>
      <c r="AK54"/>
      <c r="AL54"/>
      <c r="AM54"/>
    </row>
    <row r="55" spans="1:39">
      <c r="A55"/>
      <c r="B55"/>
      <c r="C55"/>
      <c r="D55"/>
      <c r="E55"/>
      <c r="F55"/>
      <c r="G55"/>
      <c r="H55"/>
      <c r="I55"/>
      <c r="J55"/>
      <c r="K55"/>
      <c r="L55"/>
      <c r="M55"/>
      <c r="N55"/>
      <c r="O55"/>
      <c r="P55"/>
      <c r="Q55" s="183"/>
      <c r="R55"/>
      <c r="S55"/>
      <c r="T55"/>
      <c r="U55"/>
      <c r="V55"/>
      <c r="W55"/>
      <c r="X55"/>
      <c r="Y55"/>
      <c r="Z55"/>
      <c r="AA55"/>
      <c r="AB55"/>
      <c r="AC55"/>
      <c r="AD55"/>
      <c r="AE55"/>
      <c r="AF55"/>
      <c r="AG55"/>
      <c r="AH55"/>
      <c r="AI55"/>
      <c r="AJ55"/>
      <c r="AK55"/>
      <c r="AL55"/>
      <c r="AM55"/>
    </row>
    <row r="56" spans="1:39">
      <c r="A56"/>
      <c r="B56"/>
      <c r="C56"/>
      <c r="D56"/>
      <c r="E56"/>
      <c r="F56"/>
      <c r="G56"/>
      <c r="H56"/>
      <c r="I56"/>
      <c r="J56"/>
      <c r="K56"/>
      <c r="L56"/>
      <c r="M56"/>
      <c r="N56"/>
      <c r="O56"/>
      <c r="P56"/>
      <c r="Q56" s="183"/>
      <c r="R56"/>
      <c r="S56"/>
      <c r="T56"/>
      <c r="U56"/>
      <c r="V56"/>
      <c r="W56"/>
      <c r="X56"/>
      <c r="Y56"/>
      <c r="Z56"/>
      <c r="AA56"/>
      <c r="AB56"/>
      <c r="AC56"/>
      <c r="AD56"/>
      <c r="AE56"/>
      <c r="AF56"/>
      <c r="AG56"/>
      <c r="AH56"/>
      <c r="AI56"/>
      <c r="AJ56"/>
      <c r="AK56"/>
      <c r="AL56"/>
      <c r="AM56"/>
    </row>
    <row r="57" spans="1:39">
      <c r="A57"/>
      <c r="B57"/>
      <c r="C57"/>
      <c r="D57"/>
      <c r="E57"/>
      <c r="F57"/>
      <c r="G57"/>
      <c r="H57"/>
      <c r="I57"/>
      <c r="J57"/>
      <c r="K57"/>
      <c r="L57"/>
      <c r="M57"/>
      <c r="N57"/>
      <c r="O57"/>
      <c r="P57"/>
      <c r="Q57" s="183"/>
      <c r="R57"/>
      <c r="S57"/>
      <c r="T57"/>
      <c r="U57"/>
      <c r="V57"/>
      <c r="W57"/>
      <c r="X57"/>
      <c r="Y57"/>
      <c r="Z57"/>
      <c r="AA57"/>
      <c r="AB57"/>
      <c r="AC57"/>
      <c r="AD57"/>
      <c r="AE57"/>
      <c r="AF57"/>
      <c r="AG57"/>
      <c r="AH57"/>
      <c r="AI57"/>
      <c r="AJ57"/>
      <c r="AK57"/>
      <c r="AL57"/>
      <c r="AM57"/>
    </row>
    <row r="58" spans="1:39">
      <c r="A58"/>
      <c r="B58"/>
      <c r="C58"/>
      <c r="D58"/>
      <c r="E58"/>
      <c r="F58"/>
      <c r="G58"/>
      <c r="H58"/>
      <c r="I58"/>
      <c r="J58"/>
      <c r="K58"/>
      <c r="L58"/>
      <c r="M58"/>
      <c r="N58"/>
      <c r="O58"/>
      <c r="P58"/>
      <c r="Q58" s="183"/>
      <c r="R58"/>
      <c r="S58"/>
      <c r="T58"/>
      <c r="U58"/>
      <c r="V58"/>
      <c r="W58"/>
      <c r="X58"/>
      <c r="Y58"/>
      <c r="Z58"/>
      <c r="AA58"/>
      <c r="AB58"/>
      <c r="AC58"/>
      <c r="AD58"/>
      <c r="AE58"/>
      <c r="AF58"/>
      <c r="AG58"/>
      <c r="AH58"/>
      <c r="AI58"/>
      <c r="AJ58"/>
      <c r="AK58"/>
      <c r="AL58"/>
      <c r="AM58"/>
    </row>
    <row r="59" spans="1:39">
      <c r="A59"/>
      <c r="B59"/>
      <c r="C59"/>
      <c r="D59"/>
      <c r="E59"/>
      <c r="F59"/>
      <c r="G59"/>
      <c r="H59"/>
      <c r="I59"/>
      <c r="J59"/>
      <c r="K59"/>
      <c r="L59"/>
      <c r="M59"/>
      <c r="N59"/>
      <c r="O59"/>
      <c r="P59"/>
      <c r="Q59" s="183"/>
      <c r="R59"/>
      <c r="S59"/>
      <c r="T59"/>
      <c r="U59"/>
      <c r="V59"/>
      <c r="W59"/>
      <c r="X59"/>
      <c r="Y59"/>
      <c r="Z59"/>
      <c r="AA59"/>
      <c r="AB59"/>
      <c r="AC59"/>
      <c r="AD59"/>
      <c r="AE59"/>
      <c r="AF59"/>
      <c r="AG59"/>
      <c r="AH59"/>
      <c r="AI59"/>
      <c r="AJ59"/>
      <c r="AK59"/>
      <c r="AL59"/>
      <c r="AM59"/>
    </row>
    <row r="60" spans="1:39">
      <c r="A60"/>
      <c r="B60"/>
      <c r="C60"/>
      <c r="D60"/>
      <c r="E60"/>
      <c r="F60"/>
      <c r="G60"/>
      <c r="H60"/>
      <c r="I60"/>
      <c r="J60"/>
      <c r="K60"/>
      <c r="L60"/>
      <c r="M60"/>
      <c r="N60"/>
      <c r="O60"/>
      <c r="P60"/>
      <c r="Q60" s="183"/>
      <c r="R60"/>
      <c r="S60"/>
      <c r="T60"/>
      <c r="U60"/>
      <c r="V60"/>
      <c r="W60"/>
      <c r="X60"/>
      <c r="Y60"/>
      <c r="Z60"/>
      <c r="AA60"/>
      <c r="AB60"/>
      <c r="AC60"/>
      <c r="AD60"/>
      <c r="AE60"/>
      <c r="AF60"/>
      <c r="AG60"/>
      <c r="AH60"/>
      <c r="AI60"/>
      <c r="AJ60"/>
      <c r="AK60"/>
      <c r="AL60"/>
      <c r="AM60"/>
    </row>
    <row r="61" spans="1:39">
      <c r="A61"/>
      <c r="B61"/>
      <c r="C61"/>
      <c r="D61"/>
      <c r="E61"/>
      <c r="F61"/>
      <c r="G61"/>
      <c r="H61"/>
      <c r="I61"/>
      <c r="J61"/>
      <c r="K61"/>
      <c r="L61"/>
      <c r="M61"/>
      <c r="N61"/>
      <c r="O61"/>
      <c r="P61"/>
      <c r="Q61" s="183"/>
      <c r="R61"/>
      <c r="S61"/>
      <c r="T61"/>
      <c r="U61"/>
      <c r="V61"/>
      <c r="W61"/>
      <c r="X61"/>
      <c r="Y61"/>
      <c r="Z61"/>
      <c r="AA61"/>
      <c r="AB61"/>
      <c r="AC61"/>
      <c r="AD61"/>
      <c r="AE61"/>
      <c r="AF61"/>
      <c r="AG61"/>
      <c r="AH61"/>
      <c r="AI61"/>
      <c r="AJ61"/>
      <c r="AK61"/>
      <c r="AL61"/>
      <c r="AM61"/>
    </row>
    <row r="62" spans="1:39">
      <c r="A62"/>
      <c r="B62"/>
      <c r="C62"/>
      <c r="D62"/>
      <c r="E62"/>
      <c r="F62"/>
      <c r="G62"/>
      <c r="H62"/>
      <c r="I62"/>
      <c r="J62"/>
      <c r="K62"/>
      <c r="L62"/>
      <c r="M62"/>
      <c r="N62"/>
      <c r="O62"/>
      <c r="P62"/>
      <c r="Q62" s="183"/>
      <c r="R62"/>
      <c r="S62"/>
      <c r="T62"/>
      <c r="U62"/>
      <c r="V62"/>
      <c r="W62"/>
      <c r="X62"/>
      <c r="Y62"/>
      <c r="Z62"/>
      <c r="AA62"/>
      <c r="AB62"/>
      <c r="AC62"/>
      <c r="AD62"/>
      <c r="AE62"/>
      <c r="AF62"/>
      <c r="AG62"/>
      <c r="AH62"/>
      <c r="AI62"/>
      <c r="AJ62"/>
      <c r="AK62"/>
      <c r="AL62"/>
      <c r="AM62"/>
    </row>
    <row r="63" spans="1:39">
      <c r="A63"/>
      <c r="B63"/>
      <c r="C63"/>
      <c r="D63"/>
      <c r="E63"/>
      <c r="F63"/>
      <c r="G63"/>
      <c r="H63"/>
      <c r="I63"/>
      <c r="J63"/>
      <c r="K63"/>
      <c r="L63"/>
      <c r="M63"/>
      <c r="N63"/>
      <c r="O63"/>
      <c r="P63"/>
      <c r="Q63" s="183"/>
      <c r="R63"/>
      <c r="S63"/>
      <c r="T63"/>
      <c r="U63"/>
      <c r="V63"/>
      <c r="W63"/>
      <c r="X63"/>
      <c r="Y63"/>
      <c r="Z63"/>
      <c r="AA63"/>
      <c r="AB63"/>
      <c r="AC63"/>
      <c r="AD63"/>
      <c r="AE63"/>
      <c r="AF63"/>
      <c r="AG63"/>
      <c r="AH63"/>
      <c r="AI63"/>
      <c r="AJ63"/>
      <c r="AK63"/>
      <c r="AL63"/>
      <c r="AM63"/>
    </row>
    <row r="64" spans="1:39">
      <c r="A64"/>
      <c r="B64"/>
      <c r="C64"/>
      <c r="D64"/>
      <c r="E64"/>
      <c r="F64"/>
      <c r="G64"/>
      <c r="H64"/>
      <c r="I64"/>
      <c r="J64"/>
      <c r="K64"/>
      <c r="L64"/>
      <c r="M64"/>
      <c r="N64"/>
      <c r="O64"/>
      <c r="P64"/>
      <c r="Q64" s="183"/>
      <c r="R64"/>
      <c r="S64"/>
      <c r="T64"/>
      <c r="U64"/>
      <c r="V64"/>
      <c r="W64"/>
      <c r="X64"/>
      <c r="Y64"/>
      <c r="Z64"/>
      <c r="AA64"/>
      <c r="AB64"/>
      <c r="AC64"/>
      <c r="AD64"/>
      <c r="AE64"/>
      <c r="AF64"/>
      <c r="AG64"/>
      <c r="AH64"/>
      <c r="AI64"/>
      <c r="AJ64"/>
      <c r="AK64"/>
      <c r="AL64"/>
      <c r="AM64"/>
    </row>
    <row r="65" spans="1:39">
      <c r="A65"/>
      <c r="B65"/>
      <c r="C65"/>
      <c r="D65"/>
      <c r="E65"/>
      <c r="F65"/>
      <c r="G65"/>
      <c r="H65"/>
      <c r="I65"/>
      <c r="J65"/>
      <c r="K65"/>
      <c r="L65"/>
      <c r="M65"/>
      <c r="N65"/>
      <c r="O65"/>
      <c r="P65"/>
      <c r="Q65" s="183"/>
      <c r="R65"/>
      <c r="S65"/>
      <c r="T65"/>
      <c r="U65"/>
      <c r="V65"/>
      <c r="W65"/>
      <c r="X65"/>
      <c r="Y65"/>
      <c r="Z65"/>
      <c r="AA65"/>
      <c r="AB65"/>
      <c r="AC65"/>
      <c r="AD65"/>
      <c r="AE65"/>
      <c r="AF65"/>
      <c r="AG65"/>
      <c r="AH65"/>
      <c r="AI65"/>
      <c r="AJ65"/>
      <c r="AK65"/>
      <c r="AL65"/>
      <c r="AM65"/>
    </row>
    <row r="66" spans="1:39">
      <c r="A66"/>
      <c r="B66"/>
      <c r="C66"/>
      <c r="D66"/>
      <c r="E66"/>
      <c r="F66"/>
      <c r="G66"/>
      <c r="H66"/>
      <c r="I66"/>
      <c r="J66"/>
      <c r="K66"/>
      <c r="L66"/>
      <c r="M66"/>
      <c r="N66"/>
      <c r="O66"/>
      <c r="P66"/>
      <c r="Q66" s="183"/>
      <c r="R66"/>
      <c r="S66"/>
      <c r="T66"/>
      <c r="U66"/>
      <c r="V66"/>
      <c r="W66"/>
      <c r="X66"/>
      <c r="Y66"/>
      <c r="Z66"/>
      <c r="AA66"/>
      <c r="AB66"/>
      <c r="AC66"/>
      <c r="AD66"/>
      <c r="AE66"/>
      <c r="AF66"/>
      <c r="AG66"/>
      <c r="AH66"/>
      <c r="AI66"/>
      <c r="AJ66"/>
      <c r="AK66"/>
      <c r="AL66"/>
      <c r="AM66"/>
    </row>
    <row r="67" spans="1:39">
      <c r="A67"/>
      <c r="B67"/>
      <c r="C67"/>
      <c r="D67"/>
      <c r="E67"/>
      <c r="F67"/>
      <c r="G67"/>
      <c r="H67"/>
      <c r="I67"/>
      <c r="J67"/>
      <c r="K67"/>
      <c r="L67"/>
      <c r="M67"/>
      <c r="N67"/>
      <c r="O67"/>
      <c r="P67"/>
      <c r="Q67" s="183"/>
      <c r="R67"/>
      <c r="S67"/>
      <c r="T67"/>
      <c r="U67"/>
      <c r="V67"/>
      <c r="W67"/>
      <c r="X67"/>
      <c r="Y67"/>
      <c r="Z67"/>
      <c r="AA67"/>
      <c r="AB67"/>
      <c r="AC67"/>
      <c r="AD67"/>
      <c r="AE67"/>
      <c r="AF67"/>
      <c r="AG67"/>
      <c r="AH67"/>
      <c r="AI67"/>
      <c r="AJ67"/>
      <c r="AK67"/>
      <c r="AL67"/>
      <c r="AM67"/>
    </row>
    <row r="68" spans="1:39">
      <c r="A68"/>
      <c r="B68"/>
      <c r="C68"/>
      <c r="D68"/>
      <c r="E68"/>
      <c r="F68"/>
      <c r="G68"/>
      <c r="H68"/>
      <c r="I68"/>
      <c r="J68"/>
      <c r="K68"/>
      <c r="L68"/>
      <c r="M68"/>
      <c r="N68"/>
      <c r="O68"/>
      <c r="P68"/>
      <c r="Q68" s="183"/>
      <c r="R68"/>
      <c r="S68"/>
      <c r="T68"/>
      <c r="U68"/>
      <c r="V68"/>
      <c r="W68"/>
      <c r="X68"/>
      <c r="Y68"/>
      <c r="Z68"/>
      <c r="AA68"/>
      <c r="AB68"/>
      <c r="AC68"/>
      <c r="AD68"/>
      <c r="AE68"/>
      <c r="AF68"/>
      <c r="AG68"/>
      <c r="AH68"/>
      <c r="AI68"/>
      <c r="AJ68"/>
      <c r="AK68"/>
      <c r="AL68"/>
      <c r="AM68"/>
    </row>
    <row r="69" spans="1:39">
      <c r="A69"/>
      <c r="B69"/>
      <c r="C69"/>
      <c r="D69"/>
      <c r="E69"/>
      <c r="F69"/>
      <c r="G69"/>
      <c r="H69"/>
      <c r="I69"/>
      <c r="J69"/>
      <c r="K69"/>
      <c r="L69"/>
      <c r="M69"/>
      <c r="N69"/>
      <c r="O69"/>
      <c r="P69"/>
      <c r="Q69" s="183"/>
      <c r="R69"/>
      <c r="S69"/>
      <c r="T69"/>
      <c r="U69"/>
      <c r="V69"/>
      <c r="W69"/>
      <c r="X69"/>
      <c r="Y69"/>
      <c r="Z69"/>
      <c r="AA69"/>
      <c r="AB69"/>
      <c r="AC69"/>
      <c r="AD69"/>
      <c r="AE69"/>
      <c r="AF69"/>
      <c r="AG69"/>
      <c r="AH69"/>
      <c r="AI69"/>
      <c r="AJ69"/>
      <c r="AK69"/>
      <c r="AL69"/>
      <c r="AM69"/>
    </row>
    <row r="70" spans="1:39">
      <c r="A70"/>
      <c r="B70"/>
      <c r="C70"/>
      <c r="D70"/>
      <c r="E70"/>
      <c r="F70"/>
      <c r="G70"/>
      <c r="H70"/>
      <c r="I70"/>
      <c r="J70"/>
      <c r="K70"/>
      <c r="L70"/>
      <c r="M70"/>
      <c r="N70"/>
      <c r="O70"/>
      <c r="P70"/>
      <c r="Q70" s="183"/>
      <c r="R70"/>
      <c r="S70"/>
      <c r="T70"/>
      <c r="U70"/>
      <c r="V70"/>
      <c r="W70"/>
      <c r="X70"/>
      <c r="Y70"/>
      <c r="Z70"/>
      <c r="AA70"/>
      <c r="AB70"/>
      <c r="AC70"/>
      <c r="AD70"/>
      <c r="AE70"/>
      <c r="AF70"/>
      <c r="AG70"/>
      <c r="AH70"/>
      <c r="AI70"/>
      <c r="AJ70"/>
      <c r="AK70"/>
      <c r="AL70"/>
      <c r="AM70"/>
    </row>
    <row r="71" spans="1:39">
      <c r="A71"/>
      <c r="B71"/>
      <c r="C71"/>
      <c r="D71"/>
      <c r="E71"/>
      <c r="F71"/>
      <c r="G71"/>
      <c r="H71"/>
      <c r="I71"/>
      <c r="J71"/>
      <c r="K71"/>
      <c r="L71"/>
      <c r="M71"/>
      <c r="N71"/>
      <c r="O71"/>
      <c r="P71"/>
      <c r="Q71" s="183"/>
      <c r="R71"/>
      <c r="S71"/>
      <c r="T71"/>
      <c r="U71"/>
      <c r="V71"/>
      <c r="W71"/>
      <c r="X71"/>
      <c r="Y71"/>
      <c r="Z71"/>
      <c r="AA71"/>
      <c r="AB71"/>
      <c r="AC71"/>
      <c r="AD71"/>
      <c r="AE71"/>
      <c r="AF71"/>
      <c r="AG71"/>
      <c r="AH71"/>
      <c r="AI71"/>
      <c r="AJ71"/>
      <c r="AK71"/>
      <c r="AL71"/>
      <c r="AM71"/>
    </row>
    <row r="72" spans="1:39">
      <c r="A72"/>
      <c r="B72"/>
      <c r="C72"/>
      <c r="D72"/>
      <c r="E72"/>
      <c r="F72"/>
      <c r="G72"/>
      <c r="H72"/>
      <c r="I72"/>
      <c r="J72"/>
      <c r="K72"/>
      <c r="L72"/>
      <c r="M72"/>
      <c r="N72"/>
      <c r="O72"/>
      <c r="P72"/>
      <c r="Q72" s="183"/>
      <c r="R72"/>
      <c r="S72"/>
      <c r="T72"/>
      <c r="U72"/>
      <c r="V72"/>
      <c r="W72"/>
      <c r="X72"/>
      <c r="Y72"/>
      <c r="Z72"/>
      <c r="AA72"/>
      <c r="AB72"/>
      <c r="AC72"/>
      <c r="AD72"/>
      <c r="AE72"/>
      <c r="AF72"/>
      <c r="AG72"/>
      <c r="AH72"/>
      <c r="AI72"/>
      <c r="AJ72"/>
      <c r="AK72"/>
      <c r="AL72"/>
      <c r="AM72"/>
    </row>
    <row r="73" spans="1:39">
      <c r="A73"/>
      <c r="B73"/>
      <c r="C73"/>
      <c r="D73"/>
      <c r="E73"/>
      <c r="F73"/>
      <c r="G73"/>
      <c r="H73"/>
      <c r="I73"/>
      <c r="J73"/>
      <c r="K73"/>
      <c r="L73"/>
      <c r="M73"/>
      <c r="N73"/>
      <c r="O73"/>
      <c r="P73"/>
      <c r="Q73" s="183"/>
      <c r="R73"/>
      <c r="S73"/>
      <c r="T73"/>
      <c r="U73"/>
      <c r="V73"/>
      <c r="W73"/>
      <c r="X73"/>
      <c r="Y73"/>
      <c r="Z73"/>
      <c r="AA73"/>
      <c r="AB73"/>
      <c r="AC73"/>
      <c r="AD73"/>
      <c r="AE73"/>
      <c r="AF73"/>
      <c r="AG73"/>
      <c r="AH73"/>
      <c r="AI73"/>
      <c r="AJ73"/>
      <c r="AK73"/>
      <c r="AL73"/>
      <c r="AM73"/>
    </row>
    <row r="74" spans="1:39">
      <c r="A74"/>
      <c r="B74"/>
      <c r="C74"/>
      <c r="D74"/>
      <c r="E74"/>
      <c r="F74"/>
      <c r="G74"/>
      <c r="H74"/>
      <c r="I74"/>
      <c r="J74"/>
      <c r="K74"/>
      <c r="L74"/>
      <c r="M74"/>
      <c r="N74"/>
      <c r="O74"/>
      <c r="P74"/>
      <c r="Q74" s="183"/>
      <c r="R74"/>
      <c r="S74"/>
      <c r="T74"/>
      <c r="U74"/>
      <c r="V74"/>
      <c r="W74"/>
      <c r="X74"/>
      <c r="Y74"/>
      <c r="Z74"/>
      <c r="AA74"/>
      <c r="AB74"/>
      <c r="AC74"/>
      <c r="AD74"/>
      <c r="AE74"/>
      <c r="AF74"/>
      <c r="AG74"/>
      <c r="AH74"/>
      <c r="AI74"/>
      <c r="AJ74"/>
      <c r="AK74"/>
      <c r="AL74"/>
      <c r="AM74"/>
    </row>
    <row r="75" spans="1:39">
      <c r="A75"/>
      <c r="B75"/>
      <c r="C75"/>
      <c r="D75"/>
      <c r="E75"/>
      <c r="F75"/>
      <c r="G75"/>
      <c r="H75"/>
      <c r="I75"/>
      <c r="J75"/>
      <c r="K75"/>
      <c r="L75"/>
      <c r="M75"/>
      <c r="N75"/>
      <c r="O75"/>
      <c r="P75"/>
      <c r="Q75" s="183"/>
      <c r="R75"/>
      <c r="S75"/>
      <c r="T75"/>
      <c r="U75"/>
      <c r="V75"/>
      <c r="W75"/>
      <c r="X75"/>
      <c r="Y75"/>
      <c r="Z75"/>
      <c r="AA75"/>
      <c r="AB75"/>
      <c r="AC75"/>
      <c r="AD75"/>
      <c r="AE75"/>
      <c r="AF75"/>
      <c r="AG75"/>
      <c r="AH75"/>
      <c r="AI75"/>
      <c r="AJ75"/>
      <c r="AK75"/>
      <c r="AL75"/>
      <c r="AM75"/>
    </row>
    <row r="76" spans="1:39">
      <c r="A76"/>
      <c r="B76"/>
      <c r="C76"/>
      <c r="D76"/>
      <c r="E76"/>
      <c r="F76"/>
      <c r="G76"/>
      <c r="H76"/>
      <c r="I76"/>
      <c r="J76"/>
      <c r="K76"/>
      <c r="L76"/>
      <c r="M76"/>
      <c r="N76"/>
      <c r="O76"/>
      <c r="P76"/>
      <c r="Q76" s="183"/>
      <c r="R76"/>
      <c r="S76"/>
      <c r="T76"/>
      <c r="U76"/>
      <c r="V76"/>
      <c r="W76"/>
      <c r="X76"/>
      <c r="Y76"/>
      <c r="Z76"/>
      <c r="AA76"/>
      <c r="AB76"/>
      <c r="AC76"/>
      <c r="AD76"/>
      <c r="AE76"/>
      <c r="AF76"/>
      <c r="AG76"/>
      <c r="AH76"/>
      <c r="AI76"/>
      <c r="AJ76"/>
      <c r="AK76"/>
      <c r="AL76"/>
      <c r="AM76"/>
    </row>
    <row r="77" spans="1:39">
      <c r="A77"/>
      <c r="B77"/>
      <c r="C77"/>
      <c r="D77"/>
      <c r="E77"/>
      <c r="F77"/>
      <c r="G77"/>
      <c r="H77"/>
      <c r="I77"/>
      <c r="J77"/>
      <c r="K77"/>
      <c r="L77"/>
      <c r="M77"/>
      <c r="N77"/>
      <c r="O77"/>
      <c r="P77"/>
      <c r="Q77" s="183"/>
      <c r="R77"/>
      <c r="S77"/>
      <c r="T77"/>
      <c r="U77"/>
      <c r="V77"/>
      <c r="W77"/>
      <c r="X77"/>
      <c r="Y77"/>
      <c r="Z77"/>
      <c r="AA77"/>
      <c r="AB77"/>
      <c r="AC77"/>
      <c r="AD77"/>
      <c r="AE77"/>
      <c r="AF77"/>
      <c r="AG77"/>
      <c r="AH77"/>
      <c r="AI77"/>
      <c r="AJ77"/>
      <c r="AK77"/>
      <c r="AL77"/>
      <c r="AM77"/>
    </row>
    <row r="78" spans="1:39">
      <c r="A78"/>
      <c r="B78"/>
      <c r="C78"/>
      <c r="D78"/>
      <c r="E78"/>
      <c r="F78"/>
      <c r="G78"/>
      <c r="H78"/>
      <c r="I78"/>
      <c r="J78"/>
      <c r="K78"/>
      <c r="L78"/>
      <c r="M78"/>
      <c r="N78"/>
      <c r="O78"/>
      <c r="P78"/>
      <c r="Q78" s="183"/>
      <c r="R78"/>
      <c r="S78"/>
      <c r="T78"/>
      <c r="U78"/>
      <c r="V78"/>
      <c r="W78"/>
      <c r="X78"/>
      <c r="Y78"/>
      <c r="Z78"/>
      <c r="AA78"/>
      <c r="AB78"/>
      <c r="AC78"/>
      <c r="AD78"/>
      <c r="AE78"/>
      <c r="AF78"/>
      <c r="AG78"/>
      <c r="AH78"/>
      <c r="AI78"/>
      <c r="AJ78"/>
      <c r="AK78"/>
      <c r="AL78"/>
      <c r="AM78"/>
    </row>
    <row r="79" spans="1:39">
      <c r="A79"/>
      <c r="B79"/>
      <c r="C79"/>
      <c r="D79"/>
      <c r="E79"/>
      <c r="F79"/>
      <c r="G79"/>
      <c r="H79"/>
      <c r="I79"/>
      <c r="J79"/>
      <c r="K79"/>
      <c r="L79"/>
      <c r="M79"/>
      <c r="N79"/>
      <c r="O79"/>
      <c r="P79"/>
      <c r="Q79" s="183"/>
      <c r="R79"/>
      <c r="S79"/>
      <c r="T79"/>
      <c r="U79"/>
      <c r="V79"/>
      <c r="W79"/>
      <c r="X79"/>
      <c r="Y79"/>
      <c r="Z79"/>
      <c r="AA79"/>
      <c r="AB79"/>
      <c r="AC79"/>
      <c r="AD79"/>
      <c r="AE79"/>
      <c r="AF79"/>
      <c r="AG79"/>
      <c r="AH79"/>
      <c r="AI79"/>
      <c r="AJ79"/>
      <c r="AK79"/>
      <c r="AL79"/>
      <c r="AM79"/>
    </row>
    <row r="80" spans="1:39">
      <c r="A80"/>
      <c r="B80"/>
      <c r="C80"/>
      <c r="D80"/>
      <c r="E80"/>
      <c r="F80"/>
      <c r="G80"/>
      <c r="H80"/>
      <c r="I80"/>
      <c r="J80"/>
      <c r="K80"/>
      <c r="L80"/>
      <c r="M80"/>
      <c r="N80"/>
      <c r="O80"/>
      <c r="P80"/>
      <c r="Q80" s="183"/>
      <c r="R80"/>
      <c r="S80"/>
      <c r="T80"/>
      <c r="U80"/>
      <c r="V80"/>
      <c r="W80"/>
      <c r="X80"/>
      <c r="Y80"/>
      <c r="Z80"/>
      <c r="AA80"/>
      <c r="AB80"/>
      <c r="AC80"/>
      <c r="AD80"/>
      <c r="AE80"/>
      <c r="AF80"/>
      <c r="AG80"/>
      <c r="AH80"/>
      <c r="AI80"/>
      <c r="AJ80"/>
      <c r="AK80"/>
      <c r="AL80"/>
      <c r="AM80"/>
    </row>
    <row r="81" spans="1:39">
      <c r="A81"/>
      <c r="B81"/>
      <c r="C81"/>
      <c r="D81"/>
      <c r="E81"/>
      <c r="F81"/>
      <c r="G81"/>
      <c r="H81"/>
      <c r="I81"/>
      <c r="J81"/>
      <c r="K81"/>
      <c r="L81"/>
      <c r="M81"/>
      <c r="N81"/>
      <c r="O81"/>
      <c r="P81"/>
      <c r="Q81" s="183"/>
      <c r="R81"/>
      <c r="S81"/>
      <c r="T81"/>
      <c r="U81"/>
      <c r="V81"/>
      <c r="W81"/>
      <c r="X81"/>
      <c r="Y81"/>
      <c r="Z81"/>
      <c r="AA81"/>
      <c r="AB81"/>
      <c r="AC81"/>
      <c r="AD81"/>
      <c r="AE81"/>
      <c r="AF81"/>
      <c r="AG81"/>
      <c r="AH81"/>
      <c r="AI81"/>
      <c r="AJ81"/>
      <c r="AK81"/>
      <c r="AL81"/>
      <c r="AM81"/>
    </row>
    <row r="82" spans="1:39">
      <c r="A82"/>
      <c r="B82"/>
      <c r="C82"/>
      <c r="D82"/>
      <c r="E82"/>
      <c r="F82"/>
      <c r="G82"/>
      <c r="H82"/>
      <c r="I82"/>
      <c r="J82"/>
      <c r="K82"/>
      <c r="L82"/>
      <c r="M82"/>
      <c r="N82"/>
      <c r="O82"/>
      <c r="P82"/>
      <c r="Q82" s="183"/>
      <c r="R82"/>
      <c r="S82"/>
      <c r="T82"/>
      <c r="U82"/>
      <c r="V82"/>
      <c r="W82"/>
      <c r="X82"/>
      <c r="Y82"/>
      <c r="Z82"/>
      <c r="AA82"/>
      <c r="AB82"/>
      <c r="AC82"/>
      <c r="AD82"/>
      <c r="AE82"/>
      <c r="AF82"/>
      <c r="AG82"/>
      <c r="AH82"/>
      <c r="AI82"/>
      <c r="AJ82"/>
      <c r="AK82"/>
      <c r="AL82"/>
      <c r="AM82"/>
    </row>
    <row r="83" spans="1:39">
      <c r="A83"/>
      <c r="B83"/>
      <c r="C83"/>
      <c r="D83"/>
      <c r="E83"/>
      <c r="F83"/>
      <c r="G83"/>
      <c r="H83"/>
      <c r="I83"/>
      <c r="J83"/>
      <c r="K83"/>
      <c r="L83"/>
      <c r="M83"/>
      <c r="N83"/>
      <c r="O83"/>
      <c r="P83"/>
      <c r="Q83" s="183"/>
      <c r="R83"/>
      <c r="S83"/>
      <c r="T83"/>
      <c r="U83"/>
      <c r="V83"/>
      <c r="W83"/>
      <c r="X83"/>
      <c r="Y83"/>
      <c r="Z83"/>
      <c r="AA83"/>
      <c r="AB83"/>
      <c r="AC83"/>
      <c r="AD83"/>
      <c r="AE83"/>
      <c r="AF83"/>
      <c r="AG83"/>
      <c r="AH83"/>
      <c r="AI83"/>
      <c r="AJ83"/>
      <c r="AK83"/>
      <c r="AL83"/>
      <c r="AM83"/>
    </row>
    <row r="84" spans="1:39">
      <c r="A84"/>
      <c r="B84"/>
      <c r="C84"/>
      <c r="D84"/>
      <c r="E84"/>
      <c r="F84"/>
      <c r="G84"/>
      <c r="H84"/>
      <c r="I84"/>
      <c r="J84"/>
      <c r="K84"/>
      <c r="L84"/>
      <c r="M84"/>
      <c r="N84"/>
      <c r="O84"/>
      <c r="P84"/>
      <c r="Q84" s="183"/>
      <c r="R84"/>
      <c r="S84"/>
      <c r="T84"/>
      <c r="U84"/>
      <c r="V84"/>
      <c r="W84"/>
      <c r="X84"/>
      <c r="Y84"/>
      <c r="Z84"/>
      <c r="AA84"/>
      <c r="AB84"/>
      <c r="AC84"/>
      <c r="AD84"/>
      <c r="AE84"/>
      <c r="AF84"/>
      <c r="AG84"/>
      <c r="AH84"/>
      <c r="AI84"/>
      <c r="AJ84"/>
      <c r="AK84"/>
      <c r="AL84"/>
      <c r="AM84"/>
    </row>
    <row r="85" spans="1:39">
      <c r="A85"/>
      <c r="B85"/>
      <c r="C85"/>
      <c r="D85"/>
      <c r="E85"/>
      <c r="F85"/>
      <c r="G85"/>
      <c r="H85"/>
      <c r="I85"/>
      <c r="J85"/>
      <c r="K85"/>
      <c r="L85"/>
      <c r="M85"/>
      <c r="N85"/>
      <c r="O85"/>
      <c r="P85"/>
      <c r="Q85" s="183"/>
      <c r="R85"/>
      <c r="S85"/>
      <c r="T85"/>
      <c r="U85"/>
      <c r="V85"/>
      <c r="W85"/>
      <c r="X85"/>
      <c r="Y85"/>
      <c r="Z85"/>
      <c r="AA85"/>
      <c r="AB85"/>
      <c r="AC85"/>
      <c r="AD85"/>
      <c r="AE85"/>
      <c r="AF85"/>
      <c r="AG85"/>
      <c r="AH85"/>
      <c r="AI85"/>
      <c r="AJ85"/>
      <c r="AK85"/>
      <c r="AL85"/>
      <c r="AM85"/>
    </row>
    <row r="86" spans="1:39">
      <c r="A86"/>
      <c r="B86"/>
      <c r="C86"/>
      <c r="D86"/>
      <c r="E86"/>
      <c r="F86"/>
      <c r="G86"/>
      <c r="H86"/>
      <c r="I86"/>
      <c r="J86"/>
      <c r="K86"/>
      <c r="L86"/>
      <c r="M86"/>
      <c r="N86"/>
      <c r="O86"/>
      <c r="P86"/>
      <c r="Q86" s="183"/>
      <c r="R86"/>
      <c r="S86"/>
      <c r="T86"/>
      <c r="U86"/>
      <c r="V86"/>
      <c r="W86"/>
      <c r="X86"/>
      <c r="Y86"/>
      <c r="Z86"/>
      <c r="AA86"/>
      <c r="AB86"/>
      <c r="AC86"/>
      <c r="AD86"/>
      <c r="AE86"/>
      <c r="AF86"/>
      <c r="AG86"/>
      <c r="AH86"/>
      <c r="AI86"/>
      <c r="AJ86"/>
      <c r="AK86"/>
      <c r="AL86"/>
      <c r="AM86"/>
    </row>
    <row r="87" spans="1:39">
      <c r="A87"/>
      <c r="B87"/>
      <c r="C87"/>
      <c r="D87"/>
      <c r="E87"/>
      <c r="F87"/>
      <c r="G87"/>
      <c r="H87"/>
      <c r="I87"/>
      <c r="J87"/>
      <c r="K87"/>
      <c r="L87"/>
      <c r="M87"/>
      <c r="N87"/>
      <c r="O87"/>
      <c r="P87"/>
      <c r="Q87" s="183"/>
      <c r="R87"/>
      <c r="S87"/>
      <c r="T87"/>
      <c r="U87"/>
      <c r="V87"/>
      <c r="W87"/>
      <c r="X87"/>
      <c r="Y87"/>
      <c r="Z87"/>
      <c r="AA87"/>
      <c r="AB87"/>
      <c r="AC87"/>
      <c r="AD87"/>
      <c r="AE87"/>
      <c r="AF87"/>
      <c r="AG87"/>
      <c r="AH87"/>
      <c r="AI87"/>
      <c r="AJ87"/>
      <c r="AK87"/>
      <c r="AL87"/>
      <c r="AM87"/>
    </row>
    <row r="88" spans="1:39">
      <c r="A88"/>
      <c r="B88"/>
      <c r="C88"/>
      <c r="D88"/>
      <c r="E88"/>
      <c r="F88"/>
      <c r="G88"/>
      <c r="H88"/>
      <c r="I88"/>
      <c r="J88"/>
      <c r="K88"/>
      <c r="L88"/>
      <c r="M88"/>
      <c r="N88"/>
      <c r="O88"/>
      <c r="P88"/>
      <c r="Q88" s="183"/>
      <c r="R88"/>
      <c r="S88"/>
      <c r="T88"/>
      <c r="U88"/>
      <c r="V88"/>
      <c r="W88"/>
      <c r="X88"/>
      <c r="Y88"/>
      <c r="Z88"/>
      <c r="AA88"/>
      <c r="AB88"/>
      <c r="AC88"/>
      <c r="AD88"/>
      <c r="AE88"/>
      <c r="AF88"/>
      <c r="AG88"/>
      <c r="AH88"/>
      <c r="AI88"/>
      <c r="AJ88"/>
      <c r="AK88"/>
      <c r="AL88"/>
      <c r="AM88"/>
    </row>
    <row r="89" spans="1:39">
      <c r="A89"/>
      <c r="B89"/>
      <c r="C89"/>
      <c r="D89"/>
      <c r="E89"/>
      <c r="F89"/>
      <c r="G89"/>
      <c r="H89"/>
      <c r="I89"/>
      <c r="J89"/>
      <c r="K89"/>
      <c r="L89"/>
      <c r="M89"/>
      <c r="N89"/>
      <c r="O89"/>
      <c r="P89"/>
      <c r="Q89" s="183"/>
      <c r="R89"/>
      <c r="S89"/>
      <c r="T89"/>
      <c r="U89"/>
      <c r="V89"/>
      <c r="W89"/>
      <c r="X89"/>
      <c r="Y89"/>
      <c r="Z89"/>
      <c r="AA89"/>
      <c r="AB89"/>
      <c r="AC89"/>
      <c r="AD89"/>
      <c r="AE89"/>
      <c r="AF89"/>
      <c r="AG89"/>
      <c r="AH89"/>
      <c r="AI89"/>
      <c r="AJ89"/>
      <c r="AK89"/>
      <c r="AL89"/>
      <c r="AM89"/>
    </row>
    <row r="90" spans="1:39">
      <c r="A90"/>
      <c r="B90"/>
      <c r="C90"/>
      <c r="D90"/>
      <c r="E90"/>
      <c r="F90"/>
      <c r="G90"/>
      <c r="H90"/>
      <c r="I90"/>
      <c r="J90"/>
      <c r="K90"/>
      <c r="L90"/>
      <c r="M90"/>
      <c r="N90"/>
      <c r="O90"/>
      <c r="P90"/>
      <c r="Q90" s="183"/>
      <c r="R90"/>
      <c r="S90"/>
      <c r="T90"/>
      <c r="U90"/>
      <c r="V90"/>
      <c r="W90"/>
      <c r="X90"/>
      <c r="Y90"/>
      <c r="Z90"/>
      <c r="AA90"/>
      <c r="AB90"/>
      <c r="AC90"/>
      <c r="AD90"/>
      <c r="AE90"/>
      <c r="AF90"/>
      <c r="AG90"/>
      <c r="AH90"/>
      <c r="AI90"/>
      <c r="AJ90"/>
      <c r="AK90"/>
      <c r="AL90"/>
      <c r="AM90"/>
    </row>
    <row r="91" spans="1:39">
      <c r="A91"/>
      <c r="B91"/>
      <c r="C91"/>
      <c r="D91"/>
      <c r="E91"/>
      <c r="F91"/>
      <c r="G91"/>
      <c r="H91"/>
      <c r="I91"/>
      <c r="J91"/>
      <c r="K91"/>
      <c r="L91"/>
      <c r="M91"/>
      <c r="N91"/>
      <c r="O91"/>
      <c r="P91"/>
      <c r="Q91" s="183"/>
      <c r="R91"/>
      <c r="S91"/>
      <c r="T91"/>
      <c r="U91"/>
      <c r="V91"/>
      <c r="W91"/>
      <c r="X91"/>
      <c r="Y91"/>
      <c r="Z91"/>
      <c r="AA91"/>
      <c r="AB91"/>
      <c r="AC91"/>
      <c r="AD91"/>
      <c r="AE91"/>
      <c r="AF91"/>
      <c r="AG91"/>
      <c r="AH91"/>
      <c r="AI91"/>
      <c r="AJ91"/>
      <c r="AK91"/>
      <c r="AL91"/>
      <c r="AM91"/>
    </row>
    <row r="92" spans="1:39">
      <c r="A92"/>
      <c r="B92"/>
      <c r="C92"/>
      <c r="D92"/>
      <c r="E92"/>
      <c r="F92"/>
      <c r="G92"/>
      <c r="H92"/>
      <c r="I92"/>
      <c r="J92"/>
      <c r="K92"/>
      <c r="L92"/>
      <c r="M92"/>
      <c r="N92"/>
      <c r="O92"/>
      <c r="P92"/>
      <c r="Q92" s="183"/>
      <c r="R92"/>
      <c r="S92"/>
      <c r="T92"/>
      <c r="U92"/>
      <c r="V92"/>
      <c r="W92"/>
      <c r="X92"/>
      <c r="Y92"/>
      <c r="Z92"/>
      <c r="AA92"/>
      <c r="AB92"/>
      <c r="AC92"/>
      <c r="AD92"/>
      <c r="AE92"/>
      <c r="AF92"/>
      <c r="AG92"/>
      <c r="AH92"/>
      <c r="AI92"/>
      <c r="AJ92"/>
      <c r="AK92"/>
      <c r="AL92"/>
      <c r="AM92"/>
    </row>
    <row r="93" spans="1:39">
      <c r="A93"/>
      <c r="B93"/>
      <c r="C93"/>
      <c r="D93"/>
      <c r="E93"/>
      <c r="F93"/>
      <c r="G93"/>
      <c r="H93"/>
      <c r="I93"/>
      <c r="J93"/>
      <c r="K93"/>
      <c r="L93"/>
      <c r="M93"/>
      <c r="N93"/>
      <c r="O93"/>
      <c r="P93"/>
      <c r="Q93" s="183"/>
      <c r="R93"/>
      <c r="S93"/>
      <c r="T93"/>
      <c r="U93"/>
      <c r="V93"/>
      <c r="W93"/>
      <c r="X93"/>
      <c r="Y93"/>
      <c r="Z93"/>
      <c r="AA93"/>
      <c r="AB93"/>
      <c r="AC93"/>
      <c r="AD93"/>
      <c r="AE93"/>
      <c r="AF93"/>
      <c r="AG93"/>
      <c r="AH93"/>
      <c r="AI93"/>
      <c r="AJ93"/>
      <c r="AK93"/>
      <c r="AL93"/>
      <c r="AM93"/>
    </row>
    <row r="94" spans="1:39">
      <c r="A94"/>
      <c r="B94"/>
      <c r="C94"/>
      <c r="D94"/>
      <c r="E94"/>
      <c r="F94"/>
      <c r="G94"/>
      <c r="H94"/>
      <c r="I94"/>
      <c r="J94"/>
      <c r="K94"/>
      <c r="L94"/>
      <c r="M94"/>
      <c r="N94"/>
      <c r="O94"/>
      <c r="P94"/>
      <c r="Q94" s="183"/>
      <c r="R94"/>
      <c r="S94"/>
      <c r="T94"/>
      <c r="U94"/>
      <c r="V94"/>
      <c r="W94"/>
      <c r="X94"/>
      <c r="Y94"/>
      <c r="Z94"/>
      <c r="AA94"/>
      <c r="AB94"/>
      <c r="AC94"/>
      <c r="AD94"/>
      <c r="AE94"/>
      <c r="AF94"/>
      <c r="AG94"/>
      <c r="AH94"/>
      <c r="AI94"/>
      <c r="AJ94"/>
      <c r="AK94"/>
      <c r="AL94"/>
      <c r="AM94"/>
    </row>
    <row r="95" spans="1:39">
      <c r="A95"/>
      <c r="B95"/>
      <c r="C95"/>
      <c r="D95"/>
      <c r="E95"/>
      <c r="F95"/>
      <c r="G95"/>
      <c r="H95"/>
      <c r="I95"/>
      <c r="J95"/>
      <c r="K95"/>
      <c r="L95"/>
      <c r="M95"/>
      <c r="N95"/>
      <c r="O95"/>
      <c r="P95"/>
      <c r="Q95" s="183"/>
      <c r="R95"/>
      <c r="S95"/>
      <c r="T95"/>
      <c r="U95"/>
      <c r="V95"/>
      <c r="W95"/>
      <c r="X95"/>
      <c r="Y95"/>
      <c r="Z95"/>
      <c r="AA95"/>
      <c r="AB95"/>
      <c r="AC95"/>
      <c r="AD95"/>
      <c r="AE95"/>
      <c r="AF95"/>
      <c r="AG95"/>
      <c r="AH95"/>
      <c r="AI95"/>
      <c r="AJ95"/>
      <c r="AK95"/>
      <c r="AL95"/>
      <c r="AM95"/>
    </row>
    <row r="96" spans="1:39">
      <c r="A96"/>
      <c r="B96"/>
      <c r="C96"/>
      <c r="D96"/>
      <c r="E96"/>
      <c r="F96"/>
      <c r="G96"/>
      <c r="H96"/>
      <c r="I96"/>
      <c r="J96"/>
      <c r="K96"/>
      <c r="L96"/>
      <c r="M96"/>
      <c r="N96"/>
      <c r="O96"/>
      <c r="P96"/>
      <c r="Q96" s="183"/>
      <c r="R96"/>
      <c r="S96"/>
      <c r="T96"/>
      <c r="U96"/>
      <c r="V96"/>
      <c r="W96"/>
      <c r="X96"/>
      <c r="Y96"/>
      <c r="Z96"/>
      <c r="AA96"/>
      <c r="AB96"/>
      <c r="AC96"/>
      <c r="AD96"/>
      <c r="AE96"/>
      <c r="AF96"/>
      <c r="AG96"/>
      <c r="AH96"/>
      <c r="AI96"/>
      <c r="AJ96"/>
      <c r="AK96"/>
      <c r="AL96"/>
      <c r="AM96"/>
    </row>
    <row r="97" spans="1:39">
      <c r="A97"/>
      <c r="B97"/>
      <c r="C97"/>
      <c r="D97"/>
      <c r="E97"/>
      <c r="F97"/>
      <c r="G97"/>
      <c r="H97"/>
      <c r="I97"/>
      <c r="J97"/>
      <c r="K97"/>
      <c r="L97"/>
      <c r="M97"/>
      <c r="N97"/>
      <c r="O97"/>
      <c r="P97"/>
      <c r="Q97" s="183"/>
      <c r="R97"/>
      <c r="S97"/>
      <c r="T97"/>
      <c r="U97"/>
      <c r="V97"/>
      <c r="W97"/>
      <c r="X97"/>
      <c r="Y97"/>
      <c r="Z97"/>
      <c r="AA97"/>
      <c r="AB97"/>
      <c r="AC97"/>
      <c r="AD97"/>
      <c r="AE97"/>
      <c r="AF97"/>
      <c r="AG97"/>
      <c r="AH97"/>
      <c r="AI97"/>
      <c r="AJ97"/>
      <c r="AK97"/>
      <c r="AL97"/>
      <c r="AM97"/>
    </row>
    <row r="98" spans="1:39">
      <c r="A98"/>
      <c r="B98"/>
      <c r="C98"/>
      <c r="D98"/>
      <c r="E98"/>
      <c r="F98"/>
      <c r="G98"/>
      <c r="H98"/>
      <c r="I98"/>
      <c r="J98"/>
      <c r="K98"/>
      <c r="L98"/>
      <c r="M98"/>
      <c r="N98"/>
      <c r="O98"/>
      <c r="P98"/>
      <c r="Q98" s="183"/>
      <c r="R98"/>
      <c r="S98"/>
      <c r="T98"/>
      <c r="U98"/>
      <c r="V98"/>
      <c r="W98"/>
      <c r="X98"/>
      <c r="Y98"/>
      <c r="Z98"/>
      <c r="AA98"/>
      <c r="AB98"/>
      <c r="AC98"/>
      <c r="AD98"/>
      <c r="AE98"/>
      <c r="AF98"/>
      <c r="AG98"/>
      <c r="AH98"/>
      <c r="AI98"/>
      <c r="AJ98"/>
      <c r="AK98"/>
      <c r="AL98"/>
      <c r="AM98"/>
    </row>
    <row r="99" spans="1:39">
      <c r="A99"/>
      <c r="B99"/>
      <c r="C99"/>
      <c r="D99"/>
      <c r="E99"/>
      <c r="F99"/>
      <c r="G99"/>
      <c r="H99"/>
      <c r="I99"/>
      <c r="J99"/>
      <c r="K99"/>
      <c r="L99"/>
      <c r="M99"/>
      <c r="N99"/>
      <c r="O99"/>
      <c r="P99"/>
      <c r="Q99" s="183"/>
      <c r="R99"/>
      <c r="S99"/>
      <c r="T99"/>
      <c r="U99"/>
      <c r="V99"/>
      <c r="W99"/>
      <c r="X99"/>
      <c r="Y99"/>
      <c r="Z99"/>
      <c r="AA99"/>
      <c r="AB99"/>
      <c r="AC99"/>
      <c r="AD99"/>
      <c r="AE99"/>
      <c r="AF99"/>
      <c r="AG99"/>
      <c r="AH99"/>
      <c r="AI99"/>
      <c r="AJ99"/>
      <c r="AK99"/>
      <c r="AL99"/>
      <c r="AM99"/>
    </row>
    <row r="100" spans="1:39">
      <c r="A100"/>
      <c r="B100"/>
      <c r="C100"/>
      <c r="D100"/>
      <c r="E100"/>
      <c r="F100"/>
      <c r="G100"/>
      <c r="H100"/>
      <c r="I100"/>
      <c r="J100"/>
      <c r="K100"/>
      <c r="L100"/>
      <c r="M100"/>
      <c r="N100"/>
      <c r="O100"/>
      <c r="P100"/>
      <c r="Q100" s="183"/>
      <c r="R100"/>
      <c r="S100"/>
      <c r="T100"/>
      <c r="U100"/>
      <c r="V100"/>
      <c r="W100"/>
      <c r="X100"/>
      <c r="Y100"/>
      <c r="Z100"/>
      <c r="AA100"/>
      <c r="AB100"/>
      <c r="AC100"/>
      <c r="AD100"/>
      <c r="AE100"/>
      <c r="AF100"/>
      <c r="AG100"/>
      <c r="AH100"/>
      <c r="AI100"/>
      <c r="AJ100"/>
      <c r="AK100"/>
      <c r="AL100"/>
      <c r="AM100"/>
    </row>
    <row r="101" spans="1:39">
      <c r="A101"/>
      <c r="B101"/>
      <c r="C101"/>
      <c r="D101"/>
      <c r="E101"/>
      <c r="F101"/>
      <c r="G101"/>
      <c r="H101"/>
      <c r="I101"/>
      <c r="J101"/>
      <c r="K101"/>
      <c r="L101"/>
      <c r="M101"/>
      <c r="N101"/>
      <c r="O101"/>
      <c r="P101"/>
      <c r="Q101" s="183"/>
      <c r="R101"/>
      <c r="S101"/>
      <c r="T101"/>
      <c r="U101"/>
      <c r="V101"/>
      <c r="W101"/>
      <c r="X101"/>
      <c r="Y101"/>
      <c r="Z101"/>
      <c r="AA101"/>
      <c r="AB101"/>
      <c r="AC101"/>
      <c r="AD101"/>
      <c r="AE101"/>
      <c r="AF101"/>
      <c r="AG101"/>
      <c r="AH101"/>
      <c r="AI101"/>
      <c r="AJ101"/>
      <c r="AK101"/>
      <c r="AL101"/>
      <c r="AM101"/>
    </row>
    <row r="102" spans="1:39">
      <c r="A102"/>
      <c r="B102"/>
      <c r="C102"/>
      <c r="D102"/>
      <c r="E102"/>
      <c r="F102"/>
      <c r="G102"/>
      <c r="H102"/>
      <c r="I102"/>
      <c r="J102"/>
      <c r="K102"/>
      <c r="L102"/>
      <c r="M102"/>
      <c r="N102"/>
      <c r="O102"/>
      <c r="P102"/>
      <c r="Q102" s="183"/>
      <c r="R102"/>
      <c r="S102"/>
      <c r="T102"/>
      <c r="U102"/>
      <c r="V102"/>
      <c r="W102"/>
      <c r="X102"/>
      <c r="Y102"/>
      <c r="Z102"/>
      <c r="AA102"/>
      <c r="AB102"/>
      <c r="AC102"/>
      <c r="AD102"/>
      <c r="AE102"/>
      <c r="AF102"/>
      <c r="AG102"/>
      <c r="AH102"/>
      <c r="AI102"/>
      <c r="AJ102"/>
      <c r="AK102"/>
      <c r="AL102"/>
      <c r="AM102"/>
    </row>
    <row r="103" spans="1:39">
      <c r="A103"/>
      <c r="B103"/>
      <c r="C103"/>
      <c r="D103"/>
      <c r="E103"/>
      <c r="F103"/>
      <c r="G103"/>
      <c r="H103"/>
      <c r="I103"/>
      <c r="J103"/>
      <c r="K103"/>
      <c r="L103"/>
      <c r="M103"/>
      <c r="N103"/>
      <c r="O103"/>
      <c r="P103"/>
      <c r="Q103" s="183"/>
      <c r="R103"/>
      <c r="S103"/>
      <c r="T103"/>
      <c r="U103"/>
      <c r="V103"/>
      <c r="W103"/>
      <c r="X103"/>
      <c r="Y103"/>
      <c r="Z103"/>
      <c r="AA103"/>
      <c r="AB103"/>
      <c r="AC103"/>
      <c r="AD103"/>
      <c r="AE103"/>
      <c r="AF103"/>
      <c r="AG103"/>
      <c r="AH103"/>
      <c r="AI103"/>
      <c r="AJ103"/>
      <c r="AK103"/>
      <c r="AL103"/>
      <c r="AM103"/>
    </row>
    <row r="104" spans="1:39">
      <c r="A104"/>
      <c r="B104"/>
      <c r="C104"/>
      <c r="D104"/>
      <c r="E104"/>
      <c r="F104"/>
      <c r="G104"/>
      <c r="H104"/>
      <c r="I104"/>
      <c r="J104"/>
      <c r="K104"/>
      <c r="L104"/>
      <c r="M104"/>
      <c r="N104"/>
      <c r="O104"/>
      <c r="P104"/>
      <c r="Q104" s="183"/>
      <c r="R104"/>
      <c r="S104"/>
      <c r="T104"/>
      <c r="U104"/>
      <c r="V104"/>
      <c r="W104"/>
      <c r="X104"/>
      <c r="Y104"/>
      <c r="Z104"/>
      <c r="AA104"/>
      <c r="AB104"/>
      <c r="AC104"/>
      <c r="AD104"/>
      <c r="AE104"/>
      <c r="AF104"/>
      <c r="AG104"/>
      <c r="AH104"/>
      <c r="AI104"/>
      <c r="AJ104"/>
      <c r="AK104"/>
      <c r="AL104"/>
      <c r="AM104"/>
    </row>
    <row r="105" spans="1:39">
      <c r="A105"/>
      <c r="B105"/>
      <c r="C105"/>
      <c r="D105"/>
      <c r="E105"/>
      <c r="F105"/>
      <c r="G105"/>
      <c r="H105"/>
      <c r="I105"/>
      <c r="J105"/>
      <c r="K105"/>
      <c r="L105"/>
      <c r="M105"/>
      <c r="N105"/>
      <c r="O105"/>
      <c r="P105"/>
      <c r="Q105" s="183"/>
      <c r="R105"/>
      <c r="S105"/>
      <c r="T105"/>
      <c r="U105"/>
      <c r="V105"/>
      <c r="W105"/>
      <c r="X105"/>
      <c r="Y105"/>
      <c r="Z105"/>
      <c r="AA105"/>
      <c r="AB105"/>
      <c r="AC105"/>
      <c r="AD105"/>
      <c r="AE105"/>
      <c r="AF105"/>
      <c r="AG105"/>
      <c r="AH105"/>
      <c r="AI105"/>
      <c r="AJ105"/>
      <c r="AK105"/>
      <c r="AL105"/>
      <c r="AM105"/>
    </row>
    <row r="106" spans="1:39">
      <c r="A106"/>
      <c r="B106"/>
      <c r="C106"/>
      <c r="D106"/>
      <c r="E106"/>
      <c r="F106"/>
      <c r="G106"/>
      <c r="H106"/>
      <c r="I106"/>
      <c r="J106"/>
      <c r="K106"/>
      <c r="L106"/>
      <c r="M106"/>
      <c r="N106"/>
      <c r="O106"/>
      <c r="P106"/>
      <c r="Q106" s="183"/>
      <c r="R106"/>
      <c r="S106"/>
      <c r="T106"/>
      <c r="U106"/>
      <c r="V106"/>
      <c r="W106"/>
      <c r="X106"/>
      <c r="Y106"/>
      <c r="Z106"/>
      <c r="AA106"/>
      <c r="AB106"/>
      <c r="AC106"/>
      <c r="AD106"/>
      <c r="AE106"/>
      <c r="AF106"/>
      <c r="AG106"/>
      <c r="AH106"/>
      <c r="AI106"/>
      <c r="AJ106"/>
      <c r="AK106"/>
      <c r="AL106"/>
      <c r="AM106"/>
    </row>
    <row r="107" spans="1:39">
      <c r="A107"/>
      <c r="B107"/>
      <c r="C107"/>
      <c r="D107"/>
      <c r="E107"/>
      <c r="F107"/>
      <c r="G107"/>
      <c r="H107"/>
      <c r="I107"/>
      <c r="J107"/>
      <c r="K107"/>
      <c r="L107"/>
      <c r="M107"/>
      <c r="N107"/>
      <c r="O107"/>
      <c r="P107"/>
      <c r="Q107" s="183"/>
      <c r="R107"/>
      <c r="S107"/>
      <c r="T107"/>
      <c r="U107"/>
      <c r="V107"/>
      <c r="W107"/>
      <c r="X107"/>
      <c r="Y107"/>
      <c r="Z107"/>
      <c r="AA107"/>
      <c r="AB107"/>
      <c r="AC107"/>
      <c r="AD107"/>
      <c r="AE107"/>
      <c r="AF107"/>
      <c r="AG107"/>
      <c r="AH107"/>
      <c r="AI107"/>
      <c r="AJ107"/>
      <c r="AK107"/>
      <c r="AL107"/>
      <c r="AM107"/>
    </row>
    <row r="108" spans="1:39">
      <c r="A108"/>
      <c r="B108"/>
      <c r="C108"/>
      <c r="D108"/>
      <c r="E108"/>
      <c r="F108"/>
      <c r="G108"/>
      <c r="H108"/>
      <c r="I108"/>
      <c r="J108"/>
      <c r="K108"/>
      <c r="L108"/>
      <c r="M108"/>
      <c r="N108"/>
      <c r="O108"/>
      <c r="P108"/>
      <c r="Q108" s="183"/>
      <c r="R108"/>
      <c r="S108"/>
      <c r="T108"/>
      <c r="U108"/>
      <c r="V108"/>
      <c r="W108"/>
      <c r="X108"/>
      <c r="Y108"/>
      <c r="Z108"/>
      <c r="AA108"/>
      <c r="AB108"/>
      <c r="AC108"/>
      <c r="AD108"/>
      <c r="AE108"/>
      <c r="AF108"/>
      <c r="AG108"/>
      <c r="AH108"/>
      <c r="AI108"/>
      <c r="AJ108"/>
      <c r="AK108"/>
      <c r="AL108"/>
      <c r="AM108"/>
    </row>
    <row r="109" spans="1:39">
      <c r="A109"/>
      <c r="B109"/>
      <c r="C109"/>
      <c r="D109"/>
      <c r="E109"/>
      <c r="F109"/>
      <c r="G109"/>
      <c r="H109"/>
      <c r="I109"/>
      <c r="J109"/>
      <c r="K109"/>
      <c r="L109"/>
      <c r="M109"/>
      <c r="N109"/>
      <c r="O109"/>
      <c r="P109"/>
      <c r="Q109" s="183"/>
      <c r="R109"/>
      <c r="S109"/>
      <c r="T109"/>
      <c r="U109"/>
      <c r="V109"/>
      <c r="W109"/>
      <c r="X109"/>
      <c r="Y109"/>
      <c r="Z109"/>
      <c r="AA109"/>
      <c r="AB109"/>
      <c r="AC109"/>
      <c r="AD109"/>
      <c r="AE109"/>
      <c r="AF109"/>
      <c r="AG109"/>
      <c r="AH109"/>
      <c r="AI109"/>
      <c r="AJ109"/>
      <c r="AK109"/>
      <c r="AL109"/>
      <c r="AM109"/>
    </row>
    <row r="110" spans="1:39">
      <c r="A110"/>
      <c r="B110"/>
      <c r="C110"/>
      <c r="D110"/>
      <c r="E110"/>
      <c r="F110"/>
      <c r="G110"/>
      <c r="H110"/>
      <c r="I110"/>
      <c r="J110"/>
      <c r="K110"/>
      <c r="L110"/>
      <c r="M110"/>
      <c r="N110"/>
      <c r="O110"/>
      <c r="P110"/>
      <c r="Q110" s="183"/>
      <c r="R110"/>
      <c r="S110"/>
      <c r="T110"/>
      <c r="U110"/>
      <c r="V110"/>
      <c r="W110"/>
      <c r="X110"/>
      <c r="Y110"/>
      <c r="Z110"/>
      <c r="AA110"/>
      <c r="AB110"/>
      <c r="AC110"/>
      <c r="AD110"/>
      <c r="AE110"/>
      <c r="AF110"/>
      <c r="AG110"/>
      <c r="AH110"/>
      <c r="AI110"/>
      <c r="AJ110"/>
      <c r="AK110"/>
      <c r="AL110"/>
      <c r="AM110"/>
    </row>
    <row r="111" spans="1:39">
      <c r="A111"/>
      <c r="B111"/>
      <c r="C111"/>
      <c r="D111"/>
      <c r="E111"/>
      <c r="F111"/>
      <c r="G111"/>
      <c r="H111"/>
      <c r="I111"/>
      <c r="J111"/>
      <c r="K111"/>
      <c r="L111"/>
      <c r="M111"/>
      <c r="N111"/>
      <c r="O111"/>
      <c r="P111"/>
      <c r="Q111" s="183"/>
      <c r="R111"/>
      <c r="S111"/>
      <c r="T111"/>
      <c r="U111"/>
      <c r="V111"/>
      <c r="W111"/>
      <c r="X111"/>
      <c r="Y111"/>
      <c r="Z111"/>
      <c r="AA111"/>
      <c r="AB111"/>
      <c r="AC111"/>
      <c r="AD111"/>
      <c r="AE111"/>
      <c r="AF111"/>
      <c r="AG111"/>
      <c r="AH111"/>
      <c r="AI111"/>
      <c r="AJ111"/>
      <c r="AK111"/>
      <c r="AL111"/>
      <c r="AM111"/>
    </row>
    <row r="112" spans="1:39">
      <c r="A112"/>
      <c r="B112"/>
      <c r="C112"/>
      <c r="D112"/>
      <c r="E112"/>
      <c r="F112"/>
      <c r="G112"/>
      <c r="H112"/>
      <c r="I112"/>
      <c r="J112"/>
      <c r="K112"/>
      <c r="L112"/>
      <c r="M112"/>
      <c r="N112"/>
      <c r="O112"/>
      <c r="P112"/>
      <c r="Q112" s="183"/>
      <c r="R112"/>
      <c r="S112"/>
      <c r="T112"/>
      <c r="U112"/>
      <c r="V112"/>
      <c r="W112"/>
      <c r="X112"/>
      <c r="Y112"/>
      <c r="Z112"/>
      <c r="AA112"/>
      <c r="AB112"/>
      <c r="AC112"/>
      <c r="AD112"/>
      <c r="AE112"/>
      <c r="AF112"/>
      <c r="AG112"/>
      <c r="AH112"/>
      <c r="AI112"/>
      <c r="AJ112"/>
      <c r="AK112"/>
      <c r="AL112"/>
      <c r="AM112"/>
    </row>
    <row r="113" spans="1:39">
      <c r="A113"/>
      <c r="B113"/>
      <c r="C113"/>
      <c r="D113"/>
      <c r="E113"/>
      <c r="F113"/>
      <c r="G113"/>
      <c r="H113"/>
      <c r="I113"/>
      <c r="J113"/>
      <c r="K113"/>
      <c r="L113"/>
      <c r="M113"/>
      <c r="N113"/>
      <c r="O113"/>
      <c r="P113"/>
      <c r="Q113" s="183"/>
      <c r="R113"/>
      <c r="S113"/>
      <c r="T113"/>
      <c r="U113"/>
      <c r="V113"/>
      <c r="W113"/>
      <c r="X113"/>
      <c r="Y113"/>
      <c r="Z113"/>
      <c r="AA113"/>
      <c r="AB113"/>
      <c r="AC113"/>
      <c r="AD113"/>
      <c r="AE113"/>
      <c r="AF113"/>
      <c r="AG113"/>
      <c r="AH113"/>
      <c r="AI113"/>
      <c r="AJ113"/>
      <c r="AK113"/>
      <c r="AL113"/>
      <c r="AM113"/>
    </row>
    <row r="114" spans="1:39">
      <c r="A114"/>
      <c r="B114"/>
      <c r="C114"/>
      <c r="D114"/>
      <c r="E114"/>
      <c r="F114"/>
      <c r="G114"/>
      <c r="H114"/>
      <c r="I114"/>
      <c r="J114"/>
      <c r="K114"/>
      <c r="L114"/>
      <c r="M114"/>
      <c r="N114"/>
      <c r="O114"/>
      <c r="P114"/>
      <c r="Q114" s="183"/>
      <c r="R114"/>
      <c r="S114"/>
      <c r="T114"/>
      <c r="U114"/>
      <c r="V114"/>
      <c r="W114"/>
      <c r="X114"/>
      <c r="Y114"/>
      <c r="Z114"/>
      <c r="AA114"/>
      <c r="AB114"/>
      <c r="AC114"/>
      <c r="AD114"/>
      <c r="AE114"/>
      <c r="AF114"/>
      <c r="AG114"/>
      <c r="AH114"/>
      <c r="AI114"/>
      <c r="AJ114"/>
      <c r="AK114"/>
      <c r="AL114"/>
      <c r="AM114"/>
    </row>
    <row r="115" spans="1:39">
      <c r="A115"/>
      <c r="B115"/>
      <c r="C115"/>
      <c r="D115"/>
      <c r="E115"/>
      <c r="F115"/>
      <c r="G115"/>
      <c r="H115"/>
      <c r="I115"/>
      <c r="J115"/>
      <c r="K115"/>
      <c r="L115"/>
      <c r="M115"/>
      <c r="N115"/>
      <c r="O115"/>
      <c r="P115"/>
      <c r="Q115" s="183"/>
      <c r="R115"/>
      <c r="S115"/>
      <c r="T115"/>
      <c r="U115"/>
      <c r="V115"/>
      <c r="W115"/>
      <c r="X115"/>
      <c r="Y115"/>
      <c r="Z115"/>
      <c r="AA115"/>
      <c r="AB115"/>
      <c r="AC115"/>
      <c r="AD115"/>
      <c r="AE115"/>
      <c r="AF115"/>
      <c r="AG115"/>
      <c r="AH115"/>
      <c r="AI115"/>
      <c r="AJ115"/>
      <c r="AK115"/>
      <c r="AL115"/>
      <c r="AM115"/>
    </row>
    <row r="116" spans="1:39">
      <c r="A116"/>
      <c r="B116"/>
      <c r="C116"/>
      <c r="D116"/>
      <c r="E116"/>
      <c r="F116"/>
      <c r="G116"/>
      <c r="H116"/>
      <c r="I116"/>
      <c r="J116"/>
      <c r="K116"/>
      <c r="L116"/>
      <c r="M116"/>
      <c r="N116"/>
      <c r="O116"/>
      <c r="P116"/>
      <c r="Q116" s="183"/>
      <c r="R116"/>
      <c r="S116"/>
      <c r="T116"/>
      <c r="U116"/>
      <c r="V116"/>
      <c r="W116"/>
      <c r="X116"/>
      <c r="Y116"/>
      <c r="Z116"/>
      <c r="AA116"/>
      <c r="AB116"/>
      <c r="AC116"/>
      <c r="AD116"/>
      <c r="AE116"/>
      <c r="AF116"/>
      <c r="AG116"/>
      <c r="AH116"/>
      <c r="AI116"/>
      <c r="AJ116"/>
      <c r="AK116"/>
      <c r="AL116"/>
      <c r="AM116"/>
    </row>
    <row r="117" spans="1:39">
      <c r="A117"/>
      <c r="B117"/>
      <c r="C117"/>
      <c r="D117"/>
      <c r="E117"/>
      <c r="F117"/>
      <c r="G117"/>
      <c r="H117"/>
      <c r="I117"/>
      <c r="J117"/>
      <c r="K117"/>
      <c r="L117"/>
      <c r="M117"/>
      <c r="N117"/>
      <c r="O117"/>
      <c r="P117"/>
      <c r="Q117" s="183"/>
      <c r="R117"/>
      <c r="S117"/>
      <c r="T117"/>
      <c r="U117"/>
      <c r="V117"/>
      <c r="W117"/>
      <c r="X117"/>
      <c r="Y117"/>
      <c r="Z117"/>
      <c r="AA117"/>
      <c r="AB117"/>
      <c r="AC117"/>
      <c r="AD117"/>
      <c r="AE117"/>
      <c r="AF117"/>
      <c r="AG117"/>
      <c r="AH117"/>
      <c r="AI117"/>
      <c r="AJ117"/>
      <c r="AK117"/>
      <c r="AL117"/>
      <c r="AM117"/>
    </row>
    <row r="118" spans="1:39">
      <c r="A118"/>
      <c r="B118"/>
      <c r="C118"/>
      <c r="D118"/>
      <c r="E118"/>
      <c r="F118"/>
      <c r="G118"/>
      <c r="H118"/>
      <c r="I118"/>
      <c r="J118"/>
      <c r="K118"/>
      <c r="L118"/>
      <c r="M118"/>
      <c r="N118"/>
      <c r="O118"/>
      <c r="P118"/>
      <c r="Q118" s="183"/>
      <c r="R118"/>
      <c r="S118"/>
      <c r="T118"/>
      <c r="U118"/>
      <c r="V118"/>
      <c r="W118"/>
      <c r="X118"/>
      <c r="Y118"/>
      <c r="Z118"/>
      <c r="AA118"/>
      <c r="AB118"/>
      <c r="AC118"/>
      <c r="AD118"/>
      <c r="AE118"/>
      <c r="AF118"/>
      <c r="AG118"/>
      <c r="AH118"/>
      <c r="AI118"/>
      <c r="AJ118"/>
      <c r="AK118"/>
      <c r="AL118"/>
      <c r="AM118"/>
    </row>
    <row r="119" spans="1:39">
      <c r="A119"/>
      <c r="B119"/>
      <c r="C119"/>
      <c r="D119"/>
      <c r="E119"/>
      <c r="F119"/>
      <c r="G119"/>
      <c r="H119"/>
      <c r="I119"/>
      <c r="J119"/>
      <c r="K119"/>
      <c r="L119"/>
      <c r="M119"/>
      <c r="N119"/>
      <c r="O119"/>
      <c r="P119"/>
      <c r="Q119" s="183"/>
      <c r="R119"/>
      <c r="S119"/>
      <c r="T119"/>
      <c r="U119"/>
      <c r="V119"/>
      <c r="W119"/>
      <c r="X119"/>
      <c r="Y119"/>
      <c r="Z119"/>
      <c r="AA119"/>
      <c r="AB119"/>
      <c r="AC119"/>
      <c r="AD119"/>
      <c r="AE119"/>
      <c r="AF119"/>
      <c r="AG119"/>
      <c r="AH119"/>
      <c r="AI119"/>
      <c r="AJ119"/>
      <c r="AK119"/>
      <c r="AL119"/>
      <c r="AM119"/>
    </row>
    <row r="120" spans="1:39">
      <c r="A120"/>
      <c r="B120"/>
      <c r="C120"/>
      <c r="D120"/>
      <c r="E120"/>
      <c r="F120"/>
      <c r="G120"/>
      <c r="H120"/>
      <c r="I120"/>
      <c r="J120"/>
      <c r="K120"/>
      <c r="L120"/>
      <c r="M120"/>
      <c r="N120"/>
      <c r="O120"/>
      <c r="P120"/>
      <c r="Q120" s="183"/>
      <c r="R120"/>
      <c r="S120"/>
      <c r="T120"/>
      <c r="U120"/>
      <c r="V120"/>
      <c r="W120"/>
      <c r="X120"/>
      <c r="Y120"/>
      <c r="Z120"/>
      <c r="AA120"/>
      <c r="AB120"/>
      <c r="AC120"/>
      <c r="AD120"/>
      <c r="AE120"/>
      <c r="AF120"/>
      <c r="AG120"/>
      <c r="AH120"/>
      <c r="AI120"/>
      <c r="AJ120"/>
      <c r="AK120"/>
      <c r="AL120"/>
      <c r="AM120"/>
    </row>
    <row r="121" spans="1:39">
      <c r="A121"/>
      <c r="B121"/>
      <c r="C121"/>
      <c r="D121"/>
      <c r="E121"/>
      <c r="F121"/>
      <c r="G121"/>
      <c r="H121"/>
      <c r="I121"/>
      <c r="J121"/>
      <c r="K121"/>
      <c r="L121"/>
      <c r="M121"/>
      <c r="N121"/>
      <c r="O121"/>
      <c r="P121"/>
      <c r="Q121" s="183"/>
      <c r="R121"/>
      <c r="S121"/>
      <c r="T121"/>
      <c r="U121"/>
      <c r="V121"/>
      <c r="W121"/>
      <c r="X121"/>
      <c r="Y121"/>
      <c r="Z121"/>
      <c r="AA121"/>
      <c r="AB121"/>
      <c r="AC121"/>
      <c r="AD121"/>
      <c r="AE121"/>
      <c r="AF121"/>
      <c r="AG121"/>
      <c r="AH121"/>
      <c r="AI121"/>
      <c r="AJ121"/>
      <c r="AK121"/>
      <c r="AL121"/>
      <c r="AM121"/>
    </row>
    <row r="122" spans="1:39">
      <c r="A122"/>
      <c r="B122"/>
      <c r="C122"/>
      <c r="D122"/>
      <c r="E122"/>
      <c r="F122"/>
      <c r="G122"/>
      <c r="H122"/>
      <c r="I122"/>
      <c r="J122"/>
      <c r="K122"/>
      <c r="L122"/>
      <c r="M122"/>
      <c r="N122"/>
      <c r="O122"/>
      <c r="P122"/>
      <c r="Q122" s="183"/>
      <c r="R122"/>
      <c r="S122"/>
      <c r="T122"/>
      <c r="U122"/>
      <c r="V122"/>
      <c r="W122"/>
      <c r="X122"/>
      <c r="Y122"/>
      <c r="Z122"/>
      <c r="AA122"/>
      <c r="AB122"/>
      <c r="AC122"/>
      <c r="AD122"/>
      <c r="AE122"/>
      <c r="AF122"/>
      <c r="AG122"/>
      <c r="AH122"/>
      <c r="AI122"/>
      <c r="AJ122"/>
      <c r="AK122"/>
      <c r="AL122"/>
      <c r="AM122"/>
    </row>
    <row r="123" spans="1:39">
      <c r="A123"/>
      <c r="B123"/>
      <c r="C123"/>
      <c r="D123"/>
      <c r="E123"/>
      <c r="F123"/>
      <c r="G123"/>
      <c r="H123"/>
      <c r="I123"/>
      <c r="J123"/>
      <c r="K123"/>
      <c r="L123"/>
      <c r="M123"/>
      <c r="N123"/>
      <c r="O123"/>
      <c r="P123"/>
      <c r="Q123" s="183"/>
      <c r="R123"/>
      <c r="S123"/>
      <c r="T123"/>
      <c r="U123"/>
      <c r="V123"/>
      <c r="W123"/>
      <c r="X123"/>
      <c r="Y123"/>
      <c r="Z123"/>
      <c r="AA123"/>
      <c r="AB123"/>
      <c r="AC123"/>
      <c r="AD123"/>
      <c r="AE123"/>
      <c r="AF123"/>
      <c r="AG123"/>
      <c r="AH123"/>
      <c r="AI123"/>
      <c r="AJ123"/>
      <c r="AK123"/>
      <c r="AL123"/>
      <c r="AM123"/>
    </row>
    <row r="124" spans="1:39">
      <c r="A124"/>
      <c r="B124"/>
      <c r="C124"/>
      <c r="D124"/>
      <c r="E124"/>
      <c r="F124"/>
      <c r="G124"/>
      <c r="H124"/>
      <c r="I124"/>
      <c r="J124"/>
      <c r="K124"/>
      <c r="L124"/>
      <c r="M124"/>
      <c r="N124"/>
      <c r="O124"/>
      <c r="P124"/>
      <c r="Q124" s="183"/>
      <c r="R124"/>
      <c r="S124"/>
      <c r="T124"/>
      <c r="U124"/>
      <c r="V124"/>
      <c r="W124"/>
      <c r="X124"/>
      <c r="Y124"/>
      <c r="Z124"/>
      <c r="AA124"/>
      <c r="AB124"/>
      <c r="AC124"/>
      <c r="AD124"/>
      <c r="AE124"/>
      <c r="AF124"/>
      <c r="AG124"/>
      <c r="AH124"/>
      <c r="AI124"/>
      <c r="AJ124"/>
      <c r="AK124"/>
      <c r="AL124"/>
      <c r="AM124"/>
    </row>
    <row r="125" spans="1:39">
      <c r="A125"/>
      <c r="B125"/>
      <c r="C125"/>
      <c r="D125"/>
      <c r="E125"/>
      <c r="F125"/>
      <c r="G125"/>
      <c r="H125"/>
      <c r="I125"/>
      <c r="J125"/>
      <c r="K125"/>
      <c r="L125"/>
      <c r="M125"/>
      <c r="N125"/>
      <c r="O125"/>
      <c r="P125"/>
      <c r="Q125" s="183"/>
      <c r="R125"/>
      <c r="S125"/>
      <c r="T125"/>
      <c r="U125"/>
      <c r="V125"/>
      <c r="W125"/>
      <c r="X125"/>
      <c r="Y125"/>
      <c r="Z125"/>
      <c r="AA125"/>
      <c r="AB125"/>
      <c r="AC125"/>
      <c r="AD125"/>
      <c r="AE125"/>
      <c r="AF125"/>
      <c r="AG125"/>
      <c r="AH125"/>
      <c r="AI125"/>
      <c r="AJ125"/>
      <c r="AK125"/>
      <c r="AL125"/>
      <c r="AM125"/>
    </row>
    <row r="126" spans="1:39">
      <c r="A126"/>
      <c r="B126"/>
      <c r="C126"/>
      <c r="D126"/>
      <c r="E126"/>
      <c r="F126"/>
      <c r="G126"/>
      <c r="H126"/>
      <c r="I126"/>
      <c r="J126"/>
      <c r="K126"/>
      <c r="L126"/>
      <c r="M126"/>
      <c r="N126"/>
      <c r="O126"/>
      <c r="P126"/>
      <c r="Q126" s="183"/>
      <c r="R126"/>
      <c r="S126"/>
      <c r="T126"/>
      <c r="U126"/>
      <c r="V126"/>
      <c r="W126"/>
      <c r="X126"/>
      <c r="Y126"/>
      <c r="Z126"/>
      <c r="AA126"/>
      <c r="AB126"/>
      <c r="AC126"/>
      <c r="AD126"/>
      <c r="AE126"/>
      <c r="AF126"/>
      <c r="AG126"/>
      <c r="AH126"/>
      <c r="AI126"/>
      <c r="AJ126"/>
      <c r="AK126"/>
      <c r="AL126"/>
      <c r="AM126"/>
    </row>
    <row r="127" spans="1:39">
      <c r="A127"/>
      <c r="B127"/>
      <c r="C127"/>
      <c r="D127"/>
      <c r="E127"/>
      <c r="F127"/>
      <c r="G127"/>
      <c r="H127"/>
      <c r="I127"/>
      <c r="J127"/>
      <c r="K127"/>
      <c r="L127"/>
      <c r="M127"/>
      <c r="N127"/>
      <c r="O127"/>
      <c r="P127"/>
      <c r="Q127" s="183"/>
      <c r="R127"/>
      <c r="S127"/>
      <c r="T127"/>
      <c r="U127"/>
      <c r="V127"/>
      <c r="W127"/>
      <c r="X127"/>
      <c r="Y127"/>
      <c r="Z127"/>
      <c r="AA127"/>
      <c r="AB127"/>
      <c r="AC127"/>
      <c r="AD127"/>
      <c r="AE127"/>
      <c r="AF127"/>
      <c r="AG127"/>
      <c r="AH127"/>
      <c r="AI127"/>
      <c r="AJ127"/>
      <c r="AK127"/>
      <c r="AL127"/>
      <c r="AM127"/>
    </row>
    <row r="128" spans="1:39">
      <c r="A128"/>
      <c r="B128"/>
      <c r="C128"/>
      <c r="D128"/>
      <c r="E128"/>
      <c r="F128"/>
      <c r="G128"/>
      <c r="H128"/>
      <c r="I128"/>
      <c r="J128"/>
      <c r="K128"/>
      <c r="L128"/>
      <c r="M128"/>
      <c r="N128"/>
      <c r="O128"/>
      <c r="P128"/>
      <c r="Q128" s="183"/>
      <c r="R128"/>
      <c r="S128"/>
      <c r="T128"/>
      <c r="U128"/>
      <c r="V128"/>
      <c r="W128"/>
      <c r="X128"/>
      <c r="Y128"/>
      <c r="Z128"/>
      <c r="AA128"/>
      <c r="AB128"/>
      <c r="AC128"/>
      <c r="AD128"/>
      <c r="AE128"/>
      <c r="AF128"/>
      <c r="AG128"/>
      <c r="AH128"/>
      <c r="AI128"/>
      <c r="AJ128"/>
      <c r="AK128"/>
      <c r="AL128"/>
      <c r="AM128"/>
    </row>
    <row r="129" spans="1:39">
      <c r="A129"/>
      <c r="B129"/>
      <c r="C129"/>
      <c r="D129"/>
      <c r="E129"/>
      <c r="F129"/>
      <c r="G129"/>
      <c r="H129"/>
      <c r="I129"/>
      <c r="J129"/>
      <c r="K129"/>
      <c r="L129"/>
      <c r="M129"/>
      <c r="N129"/>
      <c r="O129"/>
      <c r="P129"/>
      <c r="Q129" s="183"/>
      <c r="R129"/>
      <c r="S129"/>
      <c r="T129"/>
      <c r="U129"/>
      <c r="V129"/>
      <c r="W129"/>
      <c r="X129"/>
      <c r="Y129"/>
      <c r="Z129"/>
      <c r="AA129"/>
      <c r="AB129"/>
      <c r="AC129"/>
      <c r="AD129"/>
      <c r="AE129"/>
      <c r="AF129"/>
      <c r="AG129"/>
      <c r="AH129"/>
      <c r="AI129"/>
      <c r="AJ129"/>
      <c r="AK129"/>
      <c r="AL129"/>
      <c r="AM129"/>
    </row>
    <row r="130" spans="1:39">
      <c r="A130"/>
      <c r="B130"/>
      <c r="C130"/>
      <c r="D130"/>
      <c r="E130"/>
      <c r="F130"/>
      <c r="G130"/>
      <c r="H130"/>
      <c r="I130"/>
      <c r="J130"/>
      <c r="K130"/>
      <c r="L130"/>
      <c r="M130"/>
      <c r="N130"/>
      <c r="O130"/>
      <c r="P130"/>
      <c r="Q130" s="183"/>
      <c r="R130"/>
      <c r="S130"/>
      <c r="T130"/>
      <c r="U130"/>
      <c r="V130"/>
      <c r="W130"/>
      <c r="X130"/>
      <c r="Y130"/>
      <c r="Z130"/>
      <c r="AA130"/>
      <c r="AB130"/>
      <c r="AC130"/>
      <c r="AD130"/>
      <c r="AE130"/>
      <c r="AF130"/>
      <c r="AG130"/>
      <c r="AH130"/>
      <c r="AI130"/>
      <c r="AJ130"/>
      <c r="AK130"/>
      <c r="AL130"/>
      <c r="AM130"/>
    </row>
    <row r="131" spans="1:39">
      <c r="A131"/>
      <c r="B131"/>
      <c r="C131"/>
      <c r="D131"/>
      <c r="E131"/>
      <c r="F131"/>
      <c r="G131"/>
      <c r="H131"/>
      <c r="I131"/>
      <c r="J131"/>
      <c r="K131"/>
      <c r="L131"/>
      <c r="M131"/>
      <c r="N131"/>
      <c r="O131"/>
      <c r="P131"/>
      <c r="Q131" s="183"/>
      <c r="R131"/>
      <c r="S131"/>
      <c r="T131"/>
      <c r="U131"/>
      <c r="V131"/>
      <c r="W131"/>
      <c r="X131"/>
      <c r="Y131"/>
      <c r="Z131"/>
      <c r="AA131"/>
      <c r="AB131"/>
      <c r="AC131"/>
      <c r="AD131"/>
      <c r="AE131"/>
      <c r="AF131"/>
      <c r="AG131"/>
      <c r="AH131"/>
      <c r="AI131"/>
      <c r="AJ131"/>
      <c r="AK131"/>
      <c r="AL131"/>
      <c r="AM131"/>
    </row>
    <row r="132" spans="1:39">
      <c r="A132"/>
      <c r="B132"/>
      <c r="C132"/>
      <c r="D132"/>
      <c r="E132"/>
      <c r="F132"/>
      <c r="G132"/>
      <c r="H132"/>
      <c r="I132"/>
      <c r="J132"/>
      <c r="K132"/>
      <c r="L132"/>
      <c r="M132"/>
      <c r="N132"/>
      <c r="O132"/>
      <c r="P132"/>
      <c r="Q132" s="183"/>
      <c r="R132"/>
      <c r="S132"/>
      <c r="T132"/>
      <c r="U132"/>
      <c r="V132"/>
      <c r="W132"/>
      <c r="X132"/>
      <c r="Y132"/>
      <c r="Z132"/>
      <c r="AA132"/>
      <c r="AB132"/>
      <c r="AC132"/>
      <c r="AD132"/>
      <c r="AE132"/>
      <c r="AF132"/>
      <c r="AG132"/>
      <c r="AH132"/>
      <c r="AI132"/>
      <c r="AJ132"/>
      <c r="AK132"/>
      <c r="AL132"/>
      <c r="AM132"/>
    </row>
    <row r="133" spans="1:39">
      <c r="A133"/>
      <c r="B133"/>
      <c r="C133"/>
      <c r="D133"/>
      <c r="E133"/>
      <c r="F133"/>
      <c r="G133"/>
      <c r="H133"/>
      <c r="I133"/>
      <c r="J133"/>
      <c r="K133"/>
      <c r="L133"/>
      <c r="M133"/>
      <c r="N133"/>
      <c r="O133"/>
      <c r="P133"/>
      <c r="Q133" s="183"/>
      <c r="R133"/>
      <c r="S133"/>
      <c r="T133"/>
      <c r="U133"/>
      <c r="V133"/>
      <c r="W133"/>
      <c r="X133"/>
      <c r="Y133"/>
      <c r="Z133"/>
      <c r="AA133"/>
      <c r="AB133"/>
      <c r="AC133"/>
      <c r="AD133"/>
      <c r="AE133"/>
      <c r="AF133"/>
      <c r="AG133"/>
      <c r="AH133"/>
      <c r="AI133"/>
      <c r="AJ133"/>
      <c r="AK133"/>
      <c r="AL133"/>
      <c r="AM133"/>
    </row>
    <row r="134" spans="1:39">
      <c r="A134"/>
      <c r="B134"/>
      <c r="C134"/>
      <c r="D134"/>
      <c r="E134"/>
      <c r="F134"/>
      <c r="G134"/>
      <c r="H134"/>
      <c r="I134"/>
      <c r="J134"/>
      <c r="K134"/>
      <c r="L134"/>
      <c r="M134"/>
      <c r="N134"/>
      <c r="O134"/>
      <c r="P134"/>
      <c r="Q134" s="183"/>
      <c r="R134"/>
      <c r="S134"/>
      <c r="T134"/>
      <c r="U134"/>
      <c r="V134"/>
      <c r="W134"/>
      <c r="X134"/>
      <c r="Y134"/>
      <c r="Z134"/>
      <c r="AA134"/>
      <c r="AB134"/>
      <c r="AC134"/>
      <c r="AD134"/>
      <c r="AE134"/>
      <c r="AF134"/>
      <c r="AG134"/>
      <c r="AH134"/>
      <c r="AI134"/>
      <c r="AJ134"/>
      <c r="AK134"/>
      <c r="AL134"/>
      <c r="AM134"/>
    </row>
    <row r="135" spans="1:39">
      <c r="A135"/>
      <c r="B135"/>
      <c r="C135"/>
      <c r="D135"/>
      <c r="E135"/>
      <c r="F135"/>
      <c r="G135"/>
      <c r="H135"/>
      <c r="I135"/>
      <c r="J135"/>
      <c r="K135"/>
      <c r="L135"/>
      <c r="M135"/>
      <c r="N135"/>
      <c r="O135"/>
      <c r="P135"/>
      <c r="Q135" s="183"/>
      <c r="R135"/>
      <c r="S135"/>
      <c r="T135"/>
      <c r="U135"/>
      <c r="V135"/>
      <c r="W135"/>
      <c r="X135"/>
      <c r="Y135"/>
      <c r="Z135"/>
      <c r="AA135"/>
      <c r="AB135"/>
      <c r="AC135"/>
      <c r="AD135"/>
      <c r="AE135"/>
      <c r="AF135"/>
      <c r="AG135"/>
      <c r="AH135"/>
      <c r="AI135"/>
      <c r="AJ135"/>
      <c r="AK135"/>
      <c r="AL135"/>
      <c r="AM135"/>
    </row>
    <row r="136" spans="1:39">
      <c r="A136"/>
      <c r="B136"/>
      <c r="C136"/>
      <c r="D136"/>
      <c r="E136"/>
      <c r="F136"/>
      <c r="G136"/>
      <c r="H136"/>
      <c r="I136"/>
      <c r="J136"/>
      <c r="K136"/>
      <c r="L136"/>
      <c r="M136"/>
      <c r="N136"/>
      <c r="O136"/>
      <c r="P136"/>
      <c r="Q136" s="183"/>
      <c r="R136"/>
      <c r="S136"/>
      <c r="T136"/>
      <c r="U136"/>
      <c r="V136"/>
      <c r="W136"/>
      <c r="X136"/>
      <c r="Y136"/>
      <c r="Z136"/>
      <c r="AA136"/>
      <c r="AB136"/>
      <c r="AC136"/>
      <c r="AD136"/>
      <c r="AE136"/>
      <c r="AF136"/>
      <c r="AG136"/>
      <c r="AH136"/>
      <c r="AI136"/>
      <c r="AJ136"/>
      <c r="AK136"/>
      <c r="AL136"/>
      <c r="AM136"/>
    </row>
    <row r="137" spans="1:39">
      <c r="A137"/>
      <c r="B137"/>
      <c r="C137"/>
      <c r="D137"/>
      <c r="E137"/>
      <c r="F137"/>
      <c r="G137"/>
      <c r="H137"/>
      <c r="I137"/>
      <c r="J137"/>
      <c r="K137"/>
      <c r="L137"/>
      <c r="M137"/>
      <c r="N137"/>
      <c r="O137"/>
      <c r="P137"/>
      <c r="Q137" s="183"/>
      <c r="R137"/>
      <c r="S137"/>
      <c r="T137"/>
      <c r="U137"/>
      <c r="V137"/>
      <c r="W137"/>
      <c r="X137"/>
      <c r="Y137"/>
      <c r="Z137"/>
      <c r="AA137"/>
      <c r="AB137"/>
      <c r="AC137"/>
      <c r="AD137"/>
      <c r="AE137"/>
      <c r="AF137"/>
      <c r="AG137"/>
      <c r="AH137"/>
      <c r="AI137"/>
      <c r="AJ137"/>
      <c r="AK137"/>
      <c r="AL137"/>
      <c r="AM137"/>
    </row>
    <row r="138" spans="1:39">
      <c r="A138"/>
      <c r="B138"/>
      <c r="C138"/>
      <c r="D138"/>
      <c r="E138"/>
      <c r="F138"/>
      <c r="G138"/>
      <c r="H138"/>
      <c r="I138"/>
      <c r="J138"/>
      <c r="K138"/>
      <c r="L138"/>
      <c r="M138"/>
      <c r="N138"/>
      <c r="O138"/>
      <c r="P138"/>
      <c r="Q138" s="183"/>
      <c r="R138"/>
      <c r="S138"/>
      <c r="T138"/>
      <c r="U138"/>
      <c r="V138"/>
      <c r="W138"/>
      <c r="X138"/>
      <c r="Y138"/>
      <c r="Z138"/>
      <c r="AA138"/>
      <c r="AB138"/>
      <c r="AC138"/>
      <c r="AD138"/>
      <c r="AE138"/>
      <c r="AF138"/>
      <c r="AG138"/>
      <c r="AH138"/>
      <c r="AI138"/>
      <c r="AJ138"/>
      <c r="AK138"/>
      <c r="AL138"/>
      <c r="AM138"/>
    </row>
    <row r="139" spans="1:39">
      <c r="A139"/>
      <c r="B139"/>
      <c r="C139"/>
      <c r="D139"/>
      <c r="E139"/>
      <c r="F139"/>
      <c r="G139"/>
      <c r="H139"/>
      <c r="I139"/>
      <c r="J139"/>
      <c r="K139"/>
      <c r="L139"/>
      <c r="M139"/>
      <c r="N139"/>
      <c r="O139"/>
      <c r="P139"/>
      <c r="Q139" s="183"/>
      <c r="R139"/>
      <c r="S139"/>
      <c r="T139"/>
      <c r="U139"/>
      <c r="V139"/>
      <c r="W139"/>
      <c r="X139"/>
      <c r="Y139"/>
      <c r="Z139"/>
      <c r="AA139"/>
      <c r="AB139"/>
      <c r="AC139"/>
      <c r="AD139"/>
      <c r="AE139"/>
      <c r="AF139"/>
      <c r="AG139"/>
      <c r="AH139"/>
      <c r="AI139"/>
      <c r="AJ139"/>
      <c r="AK139"/>
      <c r="AL139"/>
      <c r="AM139"/>
    </row>
    <row r="140" spans="1:39">
      <c r="A140"/>
      <c r="B140"/>
      <c r="C140"/>
      <c r="D140"/>
      <c r="E140"/>
      <c r="F140"/>
      <c r="G140"/>
      <c r="H140"/>
      <c r="I140"/>
      <c r="J140"/>
      <c r="K140"/>
      <c r="L140"/>
      <c r="M140"/>
      <c r="N140"/>
      <c r="O140"/>
      <c r="P140"/>
      <c r="Q140" s="183"/>
      <c r="R140"/>
      <c r="S140"/>
      <c r="T140"/>
      <c r="U140"/>
      <c r="V140"/>
      <c r="W140"/>
      <c r="X140"/>
      <c r="Y140"/>
      <c r="Z140"/>
      <c r="AA140"/>
      <c r="AB140"/>
      <c r="AC140"/>
      <c r="AD140"/>
      <c r="AE140"/>
      <c r="AF140"/>
      <c r="AG140"/>
      <c r="AH140"/>
      <c r="AI140"/>
      <c r="AJ140"/>
      <c r="AK140"/>
      <c r="AL140"/>
      <c r="AM140"/>
    </row>
    <row r="141" spans="1:39">
      <c r="A141"/>
      <c r="B141"/>
      <c r="C141"/>
      <c r="D141"/>
      <c r="E141"/>
      <c r="F141"/>
      <c r="G141"/>
      <c r="H141"/>
      <c r="I141"/>
      <c r="J141"/>
      <c r="K141"/>
      <c r="L141"/>
      <c r="M141"/>
      <c r="N141"/>
      <c r="O141"/>
      <c r="P141"/>
      <c r="Q141" s="183"/>
      <c r="R141"/>
      <c r="S141"/>
      <c r="T141"/>
      <c r="U141"/>
      <c r="V141"/>
      <c r="W141"/>
      <c r="X141"/>
      <c r="Y141"/>
      <c r="Z141"/>
      <c r="AA141"/>
      <c r="AB141"/>
      <c r="AC141"/>
      <c r="AD141"/>
      <c r="AE141"/>
      <c r="AF141"/>
      <c r="AG141"/>
      <c r="AH141"/>
      <c r="AI141"/>
      <c r="AJ141"/>
      <c r="AK141"/>
      <c r="AL141"/>
      <c r="AM141"/>
    </row>
    <row r="142" spans="1:39">
      <c r="A142"/>
      <c r="B142"/>
      <c r="C142"/>
      <c r="D142"/>
      <c r="E142"/>
      <c r="F142"/>
      <c r="G142"/>
      <c r="H142"/>
      <c r="I142"/>
      <c r="J142"/>
      <c r="K142"/>
      <c r="L142"/>
      <c r="M142"/>
      <c r="N142"/>
      <c r="O142"/>
      <c r="P142"/>
      <c r="Q142" s="183"/>
      <c r="R142"/>
      <c r="S142"/>
      <c r="T142"/>
      <c r="U142"/>
      <c r="V142"/>
      <c r="W142"/>
      <c r="X142"/>
      <c r="Y142"/>
      <c r="Z142"/>
      <c r="AA142"/>
      <c r="AB142"/>
      <c r="AC142"/>
      <c r="AD142"/>
      <c r="AE142"/>
      <c r="AF142"/>
      <c r="AG142"/>
      <c r="AH142"/>
      <c r="AI142"/>
      <c r="AJ142"/>
      <c r="AK142"/>
      <c r="AL142"/>
      <c r="AM142"/>
    </row>
    <row r="143" spans="1:39">
      <c r="A143"/>
      <c r="B143"/>
      <c r="C143"/>
      <c r="D143"/>
      <c r="E143"/>
      <c r="F143"/>
      <c r="G143"/>
      <c r="H143"/>
      <c r="I143"/>
      <c r="J143"/>
      <c r="K143"/>
      <c r="L143"/>
      <c r="M143"/>
      <c r="N143"/>
      <c r="O143"/>
      <c r="P143"/>
      <c r="Q143" s="183"/>
      <c r="R143"/>
      <c r="S143"/>
      <c r="T143"/>
      <c r="U143"/>
      <c r="V143"/>
      <c r="W143"/>
      <c r="X143"/>
      <c r="Y143"/>
      <c r="Z143"/>
      <c r="AA143"/>
      <c r="AB143"/>
      <c r="AC143"/>
      <c r="AD143"/>
      <c r="AE143"/>
      <c r="AF143"/>
      <c r="AG143"/>
      <c r="AH143"/>
      <c r="AI143"/>
      <c r="AJ143"/>
      <c r="AK143"/>
      <c r="AL143"/>
      <c r="AM143"/>
    </row>
    <row r="144" spans="1:39">
      <c r="A144"/>
      <c r="B144"/>
      <c r="C144"/>
      <c r="D144"/>
      <c r="E144"/>
      <c r="F144"/>
      <c r="G144"/>
      <c r="H144"/>
      <c r="I144"/>
      <c r="J144"/>
      <c r="K144"/>
      <c r="L144"/>
      <c r="M144"/>
      <c r="N144"/>
      <c r="O144"/>
      <c r="P144"/>
      <c r="Q144" s="183"/>
      <c r="R144"/>
      <c r="S144"/>
      <c r="T144"/>
      <c r="U144"/>
      <c r="V144"/>
      <c r="W144"/>
      <c r="X144"/>
      <c r="Y144"/>
      <c r="Z144"/>
      <c r="AA144"/>
      <c r="AB144"/>
      <c r="AC144"/>
      <c r="AD144"/>
      <c r="AE144"/>
      <c r="AF144"/>
      <c r="AG144"/>
      <c r="AH144"/>
      <c r="AI144"/>
      <c r="AJ144"/>
      <c r="AK144"/>
      <c r="AL144"/>
      <c r="AM144"/>
    </row>
    <row r="145" spans="1:39">
      <c r="A145"/>
      <c r="B145"/>
      <c r="C145"/>
      <c r="D145"/>
      <c r="E145"/>
      <c r="F145"/>
      <c r="G145"/>
      <c r="H145"/>
      <c r="I145"/>
      <c r="J145"/>
      <c r="K145"/>
      <c r="L145"/>
      <c r="M145"/>
      <c r="N145"/>
      <c r="O145"/>
      <c r="P145"/>
      <c r="Q145" s="183"/>
      <c r="R145"/>
      <c r="S145"/>
      <c r="T145"/>
      <c r="U145"/>
      <c r="V145"/>
      <c r="W145"/>
      <c r="X145"/>
      <c r="Y145"/>
      <c r="Z145"/>
      <c r="AA145"/>
      <c r="AB145"/>
      <c r="AC145"/>
      <c r="AD145"/>
      <c r="AE145"/>
      <c r="AF145"/>
      <c r="AG145"/>
      <c r="AH145"/>
      <c r="AI145"/>
      <c r="AJ145"/>
      <c r="AK145"/>
      <c r="AL145"/>
      <c r="AM145"/>
    </row>
    <row r="146" spans="1:39">
      <c r="A146"/>
      <c r="B146"/>
      <c r="C146"/>
      <c r="D146"/>
      <c r="E146"/>
      <c r="F146"/>
      <c r="G146"/>
      <c r="H146"/>
      <c r="I146"/>
      <c r="J146"/>
      <c r="K146"/>
      <c r="L146"/>
      <c r="M146"/>
      <c r="N146"/>
      <c r="O146"/>
      <c r="P146"/>
      <c r="Q146" s="183"/>
      <c r="R146"/>
      <c r="S146"/>
      <c r="T146"/>
      <c r="U146"/>
      <c r="V146"/>
      <c r="W146"/>
      <c r="X146"/>
      <c r="Y146"/>
      <c r="Z146"/>
      <c r="AA146"/>
      <c r="AB146"/>
      <c r="AC146"/>
      <c r="AD146"/>
      <c r="AE146"/>
      <c r="AF146"/>
      <c r="AG146"/>
      <c r="AH146"/>
      <c r="AI146"/>
      <c r="AJ146"/>
      <c r="AK146"/>
      <c r="AL146"/>
      <c r="AM146"/>
    </row>
    <row r="147" spans="1:39">
      <c r="A147"/>
      <c r="B147"/>
      <c r="C147"/>
      <c r="D147"/>
      <c r="E147"/>
      <c r="F147"/>
      <c r="G147"/>
      <c r="H147"/>
      <c r="I147"/>
      <c r="J147"/>
      <c r="K147"/>
      <c r="L147"/>
      <c r="M147"/>
      <c r="N147"/>
      <c r="O147"/>
      <c r="P147"/>
      <c r="Q147" s="183"/>
      <c r="R147"/>
      <c r="S147"/>
      <c r="T147"/>
      <c r="U147"/>
      <c r="V147"/>
      <c r="W147"/>
      <c r="X147"/>
      <c r="Y147"/>
      <c r="Z147"/>
      <c r="AA147"/>
      <c r="AB147"/>
      <c r="AC147"/>
      <c r="AD147"/>
      <c r="AE147"/>
      <c r="AF147"/>
      <c r="AG147"/>
      <c r="AH147"/>
      <c r="AI147"/>
      <c r="AJ147"/>
      <c r="AK147"/>
      <c r="AL147"/>
      <c r="AM147"/>
    </row>
    <row r="148" spans="1:39">
      <c r="A148"/>
      <c r="B148"/>
      <c r="C148"/>
      <c r="D148"/>
      <c r="E148"/>
      <c r="F148"/>
      <c r="G148"/>
      <c r="H148"/>
      <c r="I148"/>
      <c r="J148"/>
      <c r="K148"/>
      <c r="L148"/>
      <c r="M148"/>
      <c r="N148"/>
      <c r="O148"/>
      <c r="P148"/>
      <c r="Q148" s="183"/>
      <c r="R148"/>
      <c r="S148"/>
      <c r="T148"/>
      <c r="U148"/>
      <c r="V148"/>
      <c r="W148"/>
      <c r="X148"/>
      <c r="Y148"/>
      <c r="Z148"/>
      <c r="AA148"/>
      <c r="AB148"/>
      <c r="AC148"/>
      <c r="AD148"/>
      <c r="AE148"/>
      <c r="AF148"/>
      <c r="AG148"/>
      <c r="AH148"/>
      <c r="AI148"/>
      <c r="AJ148"/>
      <c r="AK148"/>
      <c r="AL148"/>
      <c r="AM148"/>
    </row>
    <row r="149" spans="1:39">
      <c r="A149"/>
      <c r="B149"/>
      <c r="C149"/>
      <c r="D149"/>
      <c r="E149"/>
      <c r="F149"/>
      <c r="G149"/>
      <c r="H149"/>
      <c r="I149"/>
      <c r="J149"/>
      <c r="K149"/>
      <c r="L149"/>
      <c r="M149"/>
      <c r="N149"/>
      <c r="O149"/>
      <c r="P149"/>
      <c r="Q149" s="183"/>
      <c r="R149"/>
      <c r="S149"/>
      <c r="T149"/>
      <c r="U149"/>
      <c r="V149"/>
      <c r="W149"/>
      <c r="X149"/>
      <c r="Y149"/>
      <c r="Z149"/>
      <c r="AA149"/>
      <c r="AB149"/>
      <c r="AC149"/>
      <c r="AD149"/>
      <c r="AE149"/>
      <c r="AF149"/>
      <c r="AG149"/>
      <c r="AH149"/>
      <c r="AI149"/>
      <c r="AJ149"/>
      <c r="AK149"/>
      <c r="AL149"/>
      <c r="AM149"/>
    </row>
    <row r="150" spans="1:39">
      <c r="A150"/>
      <c r="B150"/>
      <c r="C150"/>
      <c r="D150"/>
      <c r="E150"/>
      <c r="F150"/>
      <c r="G150"/>
      <c r="H150"/>
      <c r="I150"/>
      <c r="J150"/>
      <c r="K150"/>
      <c r="L150"/>
      <c r="M150"/>
      <c r="N150"/>
      <c r="O150"/>
      <c r="P150"/>
      <c r="Q150" s="183"/>
      <c r="R150"/>
      <c r="S150"/>
      <c r="T150"/>
      <c r="U150"/>
      <c r="V150"/>
      <c r="W150"/>
      <c r="X150"/>
      <c r="Y150"/>
      <c r="Z150"/>
      <c r="AA150"/>
      <c r="AB150"/>
      <c r="AC150"/>
      <c r="AD150"/>
      <c r="AE150"/>
      <c r="AF150"/>
      <c r="AG150"/>
      <c r="AH150"/>
      <c r="AI150"/>
      <c r="AJ150"/>
      <c r="AK150"/>
      <c r="AL150"/>
      <c r="AM150"/>
    </row>
    <row r="151" spans="1:39">
      <c r="A151"/>
      <c r="B151"/>
      <c r="C151"/>
      <c r="D151"/>
      <c r="E151"/>
      <c r="F151"/>
      <c r="G151"/>
      <c r="H151"/>
      <c r="I151"/>
      <c r="J151"/>
      <c r="K151"/>
      <c r="L151"/>
      <c r="M151"/>
      <c r="N151"/>
      <c r="O151"/>
      <c r="P151"/>
      <c r="Q151" s="183"/>
      <c r="R151"/>
      <c r="S151"/>
      <c r="T151"/>
      <c r="U151"/>
      <c r="V151"/>
      <c r="W151"/>
      <c r="X151"/>
      <c r="Y151"/>
      <c r="Z151"/>
      <c r="AA151"/>
      <c r="AB151"/>
      <c r="AC151"/>
      <c r="AD151"/>
      <c r="AE151"/>
      <c r="AF151"/>
      <c r="AG151"/>
      <c r="AH151"/>
      <c r="AI151"/>
      <c r="AJ151"/>
      <c r="AK151"/>
      <c r="AL151"/>
      <c r="AM151"/>
    </row>
    <row r="152" spans="1:39">
      <c r="A152"/>
      <c r="B152"/>
      <c r="C152"/>
      <c r="D152"/>
      <c r="E152"/>
      <c r="F152"/>
      <c r="G152"/>
      <c r="H152"/>
      <c r="I152"/>
      <c r="J152"/>
      <c r="K152"/>
      <c r="L152"/>
      <c r="M152"/>
      <c r="N152"/>
      <c r="O152"/>
      <c r="P152"/>
      <c r="Q152" s="183"/>
      <c r="R152"/>
      <c r="S152"/>
      <c r="T152"/>
      <c r="U152"/>
      <c r="V152"/>
      <c r="W152"/>
      <c r="X152"/>
      <c r="Y152"/>
      <c r="Z152"/>
      <c r="AA152"/>
      <c r="AB152"/>
      <c r="AC152"/>
      <c r="AD152"/>
      <c r="AE152"/>
      <c r="AF152"/>
      <c r="AG152"/>
      <c r="AH152"/>
      <c r="AI152"/>
      <c r="AJ152"/>
      <c r="AK152"/>
      <c r="AL152"/>
      <c r="AM152"/>
    </row>
    <row r="153" spans="1:39">
      <c r="A153"/>
      <c r="B153"/>
      <c r="C153"/>
      <c r="D153"/>
      <c r="E153"/>
      <c r="F153"/>
      <c r="G153"/>
      <c r="H153"/>
      <c r="I153"/>
      <c r="J153"/>
      <c r="K153"/>
      <c r="L153"/>
      <c r="M153"/>
      <c r="N153"/>
      <c r="O153"/>
      <c r="P153"/>
      <c r="Q153" s="183"/>
      <c r="R153"/>
      <c r="S153"/>
      <c r="T153"/>
      <c r="U153"/>
      <c r="V153"/>
      <c r="W153"/>
      <c r="X153"/>
      <c r="Y153"/>
      <c r="Z153"/>
      <c r="AA153"/>
      <c r="AB153"/>
      <c r="AC153"/>
      <c r="AD153"/>
      <c r="AE153"/>
      <c r="AF153"/>
      <c r="AG153"/>
      <c r="AH153"/>
      <c r="AI153"/>
      <c r="AJ153"/>
      <c r="AK153"/>
      <c r="AL153"/>
      <c r="AM153"/>
    </row>
    <row r="154" spans="1:39">
      <c r="A154"/>
      <c r="B154"/>
      <c r="C154"/>
      <c r="D154"/>
      <c r="E154"/>
      <c r="F154"/>
      <c r="G154"/>
      <c r="H154"/>
      <c r="I154"/>
      <c r="J154"/>
      <c r="K154"/>
      <c r="L154"/>
      <c r="M154"/>
      <c r="N154"/>
      <c r="O154"/>
      <c r="P154"/>
      <c r="Q154" s="183"/>
      <c r="R154"/>
      <c r="S154"/>
      <c r="T154"/>
      <c r="U154"/>
      <c r="V154"/>
      <c r="W154"/>
      <c r="X154"/>
      <c r="Y154"/>
      <c r="Z154"/>
      <c r="AA154"/>
      <c r="AB154"/>
      <c r="AC154"/>
      <c r="AD154"/>
      <c r="AE154"/>
      <c r="AF154"/>
      <c r="AG154"/>
      <c r="AH154"/>
      <c r="AI154"/>
      <c r="AJ154"/>
      <c r="AK154"/>
      <c r="AL154"/>
      <c r="AM154"/>
    </row>
    <row r="155" spans="1:39">
      <c r="A155"/>
      <c r="B155"/>
      <c r="C155"/>
      <c r="D155"/>
      <c r="E155"/>
      <c r="F155"/>
      <c r="G155"/>
      <c r="H155"/>
      <c r="I155"/>
      <c r="J155"/>
      <c r="K155"/>
      <c r="L155"/>
      <c r="M155"/>
      <c r="N155"/>
      <c r="O155"/>
      <c r="P155"/>
      <c r="Q155" s="183"/>
      <c r="R155"/>
      <c r="S155"/>
      <c r="T155"/>
      <c r="U155"/>
      <c r="V155"/>
      <c r="W155"/>
      <c r="X155"/>
      <c r="Y155"/>
      <c r="Z155"/>
      <c r="AA155"/>
      <c r="AB155"/>
      <c r="AC155"/>
      <c r="AD155"/>
      <c r="AE155"/>
      <c r="AF155"/>
      <c r="AG155"/>
      <c r="AH155"/>
      <c r="AI155"/>
      <c r="AJ155"/>
      <c r="AK155"/>
      <c r="AL155"/>
      <c r="AM155"/>
    </row>
    <row r="156" spans="1:39">
      <c r="A156"/>
      <c r="B156"/>
      <c r="C156"/>
      <c r="D156"/>
      <c r="E156"/>
      <c r="F156"/>
      <c r="G156"/>
      <c r="H156"/>
      <c r="I156"/>
      <c r="J156"/>
      <c r="K156"/>
      <c r="L156"/>
      <c r="M156"/>
      <c r="N156"/>
      <c r="O156"/>
      <c r="P156"/>
      <c r="Q156" s="183"/>
      <c r="R156"/>
      <c r="S156"/>
      <c r="T156"/>
      <c r="U156"/>
      <c r="V156"/>
      <c r="W156"/>
      <c r="X156"/>
      <c r="Y156"/>
      <c r="Z156"/>
      <c r="AA156"/>
      <c r="AB156"/>
      <c r="AC156"/>
      <c r="AD156"/>
      <c r="AE156"/>
      <c r="AF156"/>
      <c r="AG156"/>
      <c r="AH156"/>
      <c r="AI156"/>
      <c r="AJ156"/>
      <c r="AK156"/>
      <c r="AL156"/>
      <c r="AM156"/>
    </row>
    <row r="157" spans="1:39">
      <c r="A157"/>
      <c r="B157"/>
      <c r="C157"/>
      <c r="D157"/>
      <c r="E157"/>
      <c r="F157"/>
      <c r="G157"/>
      <c r="H157"/>
      <c r="I157"/>
      <c r="J157"/>
      <c r="K157"/>
      <c r="L157"/>
      <c r="M157"/>
      <c r="N157"/>
      <c r="O157"/>
      <c r="P157"/>
      <c r="Q157" s="183"/>
      <c r="R157"/>
      <c r="S157"/>
      <c r="T157"/>
      <c r="U157"/>
      <c r="V157"/>
      <c r="W157"/>
      <c r="X157"/>
      <c r="Y157"/>
      <c r="Z157"/>
      <c r="AA157"/>
      <c r="AB157"/>
      <c r="AC157"/>
      <c r="AD157"/>
      <c r="AE157"/>
      <c r="AF157"/>
      <c r="AG157"/>
      <c r="AH157"/>
      <c r="AI157"/>
      <c r="AJ157"/>
      <c r="AK157"/>
      <c r="AL157"/>
      <c r="AM157"/>
    </row>
    <row r="158" spans="1:39">
      <c r="A158"/>
      <c r="B158"/>
      <c r="C158"/>
      <c r="D158"/>
      <c r="E158"/>
      <c r="F158"/>
      <c r="G158"/>
      <c r="H158"/>
      <c r="I158"/>
      <c r="J158"/>
      <c r="K158"/>
      <c r="L158"/>
      <c r="M158"/>
      <c r="N158"/>
      <c r="O158"/>
      <c r="P158"/>
      <c r="Q158" s="183"/>
      <c r="R158"/>
      <c r="S158"/>
      <c r="T158"/>
      <c r="U158"/>
      <c r="V158"/>
      <c r="W158"/>
      <c r="X158"/>
      <c r="Y158"/>
      <c r="Z158"/>
      <c r="AA158"/>
      <c r="AB158"/>
      <c r="AC158"/>
      <c r="AD158"/>
      <c r="AE158"/>
      <c r="AF158"/>
      <c r="AG158"/>
      <c r="AH158"/>
      <c r="AI158"/>
      <c r="AJ158"/>
      <c r="AK158"/>
      <c r="AL158"/>
      <c r="AM158"/>
    </row>
    <row r="159" spans="1:39">
      <c r="A159"/>
      <c r="B159"/>
      <c r="C159"/>
      <c r="D159"/>
      <c r="E159"/>
      <c r="F159"/>
      <c r="G159"/>
      <c r="H159"/>
      <c r="I159"/>
      <c r="J159"/>
      <c r="K159"/>
      <c r="L159"/>
      <c r="M159"/>
      <c r="N159"/>
      <c r="O159"/>
      <c r="P159"/>
      <c r="Q159" s="183"/>
      <c r="R159"/>
      <c r="S159"/>
      <c r="T159"/>
      <c r="U159"/>
      <c r="V159"/>
      <c r="W159"/>
      <c r="X159"/>
      <c r="Y159"/>
      <c r="Z159"/>
      <c r="AA159"/>
      <c r="AB159"/>
      <c r="AC159"/>
      <c r="AD159"/>
      <c r="AE159"/>
      <c r="AF159"/>
      <c r="AG159"/>
      <c r="AH159"/>
      <c r="AI159"/>
      <c r="AJ159"/>
      <c r="AK159"/>
      <c r="AL159"/>
      <c r="AM159"/>
    </row>
    <row r="160" spans="1:39">
      <c r="A160"/>
      <c r="B160"/>
      <c r="C160"/>
      <c r="D160"/>
      <c r="E160"/>
      <c r="F160"/>
      <c r="G160"/>
      <c r="H160"/>
      <c r="I160"/>
      <c r="J160"/>
      <c r="K160"/>
      <c r="L160"/>
      <c r="M160"/>
      <c r="N160"/>
      <c r="O160"/>
      <c r="P160"/>
      <c r="Q160" s="183"/>
      <c r="R160"/>
      <c r="S160"/>
      <c r="T160"/>
      <c r="U160"/>
      <c r="V160"/>
      <c r="W160"/>
      <c r="X160"/>
      <c r="Y160"/>
      <c r="Z160"/>
      <c r="AA160"/>
      <c r="AB160"/>
      <c r="AC160"/>
      <c r="AD160"/>
      <c r="AE160"/>
      <c r="AF160"/>
      <c r="AG160"/>
      <c r="AH160"/>
      <c r="AI160"/>
      <c r="AJ160"/>
      <c r="AK160"/>
      <c r="AL160"/>
      <c r="AM160"/>
    </row>
    <row r="161" spans="1:39">
      <c r="A161"/>
      <c r="B161"/>
      <c r="C161"/>
      <c r="D161"/>
      <c r="E161"/>
      <c r="F161"/>
      <c r="G161"/>
      <c r="H161"/>
      <c r="I161"/>
      <c r="J161"/>
      <c r="K161"/>
      <c r="L161"/>
      <c r="M161"/>
      <c r="N161"/>
      <c r="O161"/>
      <c r="P161"/>
      <c r="Q161" s="183"/>
      <c r="R161"/>
      <c r="S161"/>
      <c r="T161"/>
      <c r="U161"/>
      <c r="V161"/>
      <c r="W161"/>
      <c r="X161"/>
      <c r="Y161"/>
      <c r="Z161"/>
      <c r="AA161"/>
      <c r="AB161"/>
      <c r="AC161"/>
      <c r="AD161"/>
      <c r="AE161"/>
      <c r="AF161"/>
      <c r="AG161"/>
      <c r="AH161"/>
      <c r="AI161"/>
      <c r="AJ161"/>
      <c r="AK161"/>
      <c r="AL161"/>
      <c r="AM161"/>
    </row>
    <row r="162" spans="1:39">
      <c r="A162"/>
      <c r="B162"/>
      <c r="C162"/>
      <c r="D162"/>
      <c r="E162"/>
      <c r="F162"/>
      <c r="G162"/>
      <c r="H162"/>
      <c r="I162"/>
      <c r="J162"/>
      <c r="K162"/>
      <c r="L162"/>
      <c r="M162"/>
      <c r="N162"/>
      <c r="O162"/>
      <c r="P162"/>
      <c r="Q162" s="183"/>
      <c r="R162"/>
      <c r="S162"/>
      <c r="T162"/>
      <c r="U162"/>
      <c r="V162"/>
      <c r="W162"/>
      <c r="X162"/>
      <c r="Y162"/>
      <c r="Z162"/>
      <c r="AA162"/>
      <c r="AB162"/>
      <c r="AC162"/>
      <c r="AD162"/>
      <c r="AE162"/>
      <c r="AF162"/>
      <c r="AG162"/>
      <c r="AH162"/>
      <c r="AI162"/>
      <c r="AJ162"/>
      <c r="AK162"/>
      <c r="AL162"/>
      <c r="AM162"/>
    </row>
    <row r="163" spans="1:39">
      <c r="A163"/>
      <c r="B163"/>
      <c r="C163"/>
      <c r="D163"/>
      <c r="E163"/>
      <c r="F163"/>
      <c r="G163"/>
      <c r="H163"/>
      <c r="I163"/>
      <c r="J163"/>
      <c r="K163"/>
      <c r="L163"/>
      <c r="M163"/>
      <c r="N163"/>
      <c r="O163"/>
      <c r="P163"/>
      <c r="Q163" s="183"/>
      <c r="R163"/>
      <c r="S163"/>
      <c r="T163"/>
      <c r="U163"/>
      <c r="V163"/>
      <c r="W163"/>
      <c r="X163"/>
      <c r="Y163"/>
      <c r="Z163"/>
      <c r="AA163"/>
      <c r="AB163"/>
      <c r="AC163"/>
      <c r="AD163"/>
      <c r="AE163"/>
      <c r="AF163"/>
      <c r="AG163"/>
      <c r="AH163"/>
      <c r="AI163"/>
      <c r="AJ163"/>
      <c r="AK163"/>
      <c r="AL163"/>
      <c r="AM163"/>
    </row>
    <row r="164" spans="1:39">
      <c r="A164"/>
      <c r="B164"/>
      <c r="C164"/>
      <c r="D164"/>
      <c r="E164"/>
      <c r="F164"/>
      <c r="G164"/>
      <c r="H164"/>
      <c r="I164"/>
      <c r="J164"/>
      <c r="K164"/>
      <c r="L164"/>
      <c r="M164"/>
      <c r="N164"/>
      <c r="O164"/>
      <c r="P164"/>
      <c r="Q164" s="183"/>
      <c r="R164"/>
      <c r="S164"/>
      <c r="T164"/>
      <c r="U164"/>
      <c r="V164"/>
      <c r="W164"/>
      <c r="X164"/>
      <c r="Y164"/>
      <c r="Z164"/>
      <c r="AA164"/>
      <c r="AB164"/>
      <c r="AC164"/>
      <c r="AD164"/>
      <c r="AE164"/>
      <c r="AF164"/>
      <c r="AG164"/>
      <c r="AH164"/>
      <c r="AI164"/>
      <c r="AJ164"/>
      <c r="AK164"/>
      <c r="AL164"/>
      <c r="AM164"/>
    </row>
    <row r="165" spans="1:39">
      <c r="A165"/>
      <c r="B165"/>
      <c r="C165"/>
      <c r="D165"/>
      <c r="E165"/>
      <c r="F165"/>
      <c r="G165"/>
      <c r="H165"/>
      <c r="I165"/>
      <c r="J165"/>
      <c r="K165"/>
      <c r="L165"/>
      <c r="M165"/>
      <c r="N165"/>
      <c r="O165"/>
      <c r="P165"/>
      <c r="Q165" s="183"/>
      <c r="R165"/>
      <c r="S165"/>
      <c r="T165"/>
      <c r="U165"/>
      <c r="V165"/>
      <c r="W165"/>
      <c r="X165"/>
      <c r="Y165"/>
      <c r="Z165"/>
      <c r="AA165"/>
      <c r="AB165"/>
      <c r="AC165"/>
      <c r="AD165"/>
      <c r="AE165"/>
      <c r="AF165"/>
      <c r="AG165"/>
      <c r="AH165"/>
      <c r="AI165"/>
      <c r="AJ165"/>
      <c r="AK165"/>
      <c r="AL165"/>
      <c r="AM165"/>
    </row>
    <row r="166" spans="1:39">
      <c r="A166"/>
      <c r="B166"/>
      <c r="C166"/>
      <c r="D166"/>
      <c r="E166"/>
      <c r="F166"/>
      <c r="G166"/>
      <c r="H166"/>
      <c r="I166"/>
      <c r="J166"/>
      <c r="K166"/>
      <c r="L166"/>
      <c r="M166"/>
      <c r="N166"/>
      <c r="O166"/>
      <c r="P166"/>
      <c r="Q166" s="183"/>
      <c r="R166"/>
      <c r="S166"/>
      <c r="T166"/>
      <c r="U166"/>
      <c r="V166"/>
      <c r="W166"/>
      <c r="X166"/>
      <c r="Y166"/>
      <c r="Z166"/>
      <c r="AA166"/>
      <c r="AB166"/>
      <c r="AC166"/>
      <c r="AD166"/>
      <c r="AE166"/>
      <c r="AF166"/>
      <c r="AG166"/>
      <c r="AH166"/>
      <c r="AI166"/>
      <c r="AJ166"/>
      <c r="AK166"/>
      <c r="AL166"/>
      <c r="AM166"/>
    </row>
    <row r="167" spans="1:39">
      <c r="A167"/>
      <c r="B167"/>
      <c r="C167"/>
      <c r="D167"/>
      <c r="E167"/>
      <c r="F167"/>
      <c r="G167"/>
      <c r="H167"/>
      <c r="I167"/>
      <c r="J167"/>
      <c r="K167"/>
      <c r="L167"/>
      <c r="M167"/>
      <c r="N167"/>
      <c r="O167"/>
      <c r="P167"/>
      <c r="Q167" s="183"/>
      <c r="R167"/>
      <c r="S167"/>
      <c r="T167"/>
      <c r="U167"/>
      <c r="V167"/>
      <c r="W167"/>
      <c r="X167"/>
      <c r="Y167"/>
      <c r="Z167"/>
      <c r="AA167"/>
      <c r="AB167"/>
      <c r="AC167"/>
      <c r="AD167"/>
      <c r="AE167"/>
      <c r="AF167"/>
      <c r="AG167"/>
      <c r="AH167"/>
      <c r="AI167"/>
      <c r="AJ167"/>
      <c r="AK167"/>
      <c r="AL167"/>
      <c r="AM167"/>
    </row>
    <row r="168" spans="1:39">
      <c r="A168"/>
      <c r="B168"/>
      <c r="C168"/>
      <c r="D168"/>
      <c r="E168"/>
      <c r="F168"/>
      <c r="G168"/>
      <c r="H168"/>
      <c r="I168"/>
      <c r="J168"/>
      <c r="K168"/>
      <c r="L168"/>
      <c r="M168"/>
      <c r="N168"/>
      <c r="O168"/>
      <c r="P168"/>
      <c r="Q168" s="183"/>
      <c r="R168"/>
      <c r="S168"/>
      <c r="T168"/>
      <c r="U168"/>
      <c r="V168"/>
      <c r="W168"/>
      <c r="X168"/>
      <c r="Y168"/>
      <c r="Z168"/>
      <c r="AA168"/>
      <c r="AB168"/>
      <c r="AC168"/>
      <c r="AD168"/>
      <c r="AE168"/>
      <c r="AF168"/>
      <c r="AG168"/>
      <c r="AH168"/>
      <c r="AI168"/>
      <c r="AJ168"/>
      <c r="AK168"/>
      <c r="AL168"/>
      <c r="AM168"/>
    </row>
    <row r="169" spans="1:39">
      <c r="A169"/>
      <c r="B169"/>
      <c r="C169"/>
      <c r="D169"/>
      <c r="E169"/>
      <c r="F169"/>
      <c r="G169"/>
      <c r="H169"/>
      <c r="I169"/>
      <c r="J169"/>
      <c r="K169"/>
      <c r="L169"/>
      <c r="M169"/>
      <c r="N169"/>
      <c r="O169"/>
      <c r="P169"/>
      <c r="Q169" s="183"/>
      <c r="R169"/>
      <c r="S169"/>
      <c r="T169"/>
      <c r="U169"/>
      <c r="V169"/>
      <c r="W169"/>
      <c r="X169"/>
      <c r="Y169"/>
      <c r="Z169"/>
      <c r="AA169"/>
      <c r="AB169"/>
      <c r="AC169"/>
      <c r="AD169"/>
      <c r="AE169"/>
      <c r="AF169"/>
      <c r="AG169"/>
      <c r="AH169"/>
      <c r="AI169"/>
      <c r="AJ169"/>
      <c r="AK169"/>
      <c r="AL169"/>
      <c r="AM169"/>
    </row>
    <row r="170" spans="1:39">
      <c r="A170"/>
      <c r="B170"/>
      <c r="C170"/>
      <c r="D170"/>
      <c r="E170"/>
      <c r="F170"/>
      <c r="G170"/>
      <c r="H170"/>
      <c r="I170"/>
      <c r="J170"/>
      <c r="K170"/>
      <c r="L170"/>
      <c r="M170"/>
      <c r="N170"/>
      <c r="O170"/>
      <c r="P170"/>
      <c r="Q170" s="183"/>
      <c r="R170"/>
      <c r="S170"/>
      <c r="T170"/>
      <c r="U170"/>
      <c r="V170"/>
      <c r="W170"/>
      <c r="X170"/>
      <c r="Y170"/>
      <c r="Z170"/>
      <c r="AA170"/>
      <c r="AB170"/>
      <c r="AC170"/>
      <c r="AD170"/>
      <c r="AE170"/>
      <c r="AF170"/>
      <c r="AG170"/>
      <c r="AH170"/>
      <c r="AI170"/>
      <c r="AJ170"/>
      <c r="AK170"/>
      <c r="AL170"/>
      <c r="AM170"/>
    </row>
    <row r="171" spans="1:39">
      <c r="A171"/>
      <c r="B171"/>
      <c r="C171"/>
      <c r="D171"/>
      <c r="E171"/>
      <c r="F171"/>
      <c r="G171"/>
      <c r="H171"/>
      <c r="I171"/>
      <c r="J171"/>
      <c r="K171"/>
      <c r="L171"/>
      <c r="M171"/>
      <c r="N171"/>
      <c r="O171"/>
      <c r="P171"/>
      <c r="Q171" s="183"/>
      <c r="R171"/>
      <c r="S171"/>
      <c r="T171"/>
      <c r="U171"/>
      <c r="V171"/>
      <c r="W171"/>
      <c r="X171"/>
      <c r="Y171"/>
      <c r="Z171"/>
      <c r="AA171"/>
      <c r="AB171"/>
      <c r="AC171"/>
      <c r="AD171"/>
      <c r="AE171"/>
      <c r="AF171"/>
      <c r="AG171"/>
      <c r="AH171"/>
      <c r="AI171"/>
      <c r="AJ171"/>
      <c r="AK171"/>
      <c r="AL171"/>
      <c r="AM171"/>
    </row>
    <row r="172" spans="1:39">
      <c r="A172"/>
      <c r="B172"/>
      <c r="C172"/>
      <c r="D172"/>
      <c r="E172"/>
      <c r="F172"/>
      <c r="G172"/>
      <c r="H172"/>
      <c r="I172"/>
      <c r="J172"/>
      <c r="K172"/>
      <c r="L172"/>
      <c r="M172"/>
      <c r="N172"/>
      <c r="O172"/>
      <c r="P172"/>
      <c r="Q172" s="183"/>
      <c r="R172"/>
      <c r="S172"/>
      <c r="T172"/>
      <c r="U172"/>
      <c r="V172"/>
      <c r="W172"/>
      <c r="X172"/>
      <c r="Y172"/>
      <c r="Z172"/>
      <c r="AA172"/>
      <c r="AB172"/>
      <c r="AC172"/>
      <c r="AD172"/>
      <c r="AE172"/>
      <c r="AF172"/>
      <c r="AG172"/>
      <c r="AH172"/>
      <c r="AI172"/>
      <c r="AJ172"/>
      <c r="AK172"/>
      <c r="AL172"/>
      <c r="AM172"/>
    </row>
    <row r="173" spans="1:39">
      <c r="A173"/>
      <c r="B173"/>
      <c r="C173"/>
      <c r="D173"/>
      <c r="E173"/>
      <c r="F173"/>
      <c r="G173"/>
      <c r="H173"/>
      <c r="I173"/>
      <c r="J173"/>
      <c r="K173"/>
      <c r="L173"/>
      <c r="M173"/>
      <c r="N173"/>
      <c r="O173"/>
      <c r="P173"/>
      <c r="Q173" s="183"/>
      <c r="R173"/>
      <c r="S173"/>
      <c r="T173"/>
      <c r="U173"/>
      <c r="V173"/>
      <c r="W173"/>
      <c r="X173"/>
      <c r="Y173"/>
      <c r="Z173"/>
      <c r="AA173"/>
      <c r="AB173"/>
      <c r="AC173"/>
      <c r="AD173"/>
      <c r="AE173"/>
      <c r="AF173"/>
      <c r="AG173"/>
      <c r="AH173"/>
      <c r="AI173"/>
      <c r="AJ173"/>
      <c r="AK173"/>
      <c r="AL173"/>
      <c r="AM173"/>
    </row>
    <row r="174" spans="1:39">
      <c r="A174"/>
      <c r="B174"/>
      <c r="C174"/>
      <c r="D174"/>
      <c r="E174"/>
      <c r="F174"/>
      <c r="G174"/>
      <c r="H174"/>
      <c r="I174"/>
      <c r="J174"/>
      <c r="K174"/>
      <c r="L174"/>
      <c r="M174"/>
      <c r="N174"/>
      <c r="O174"/>
      <c r="P174"/>
      <c r="Q174" s="183"/>
      <c r="R174"/>
      <c r="S174"/>
      <c r="T174"/>
      <c r="U174"/>
      <c r="V174"/>
      <c r="W174"/>
      <c r="X174"/>
      <c r="Y174"/>
      <c r="Z174"/>
      <c r="AA174"/>
      <c r="AB174"/>
      <c r="AC174"/>
      <c r="AD174"/>
      <c r="AE174"/>
      <c r="AF174"/>
      <c r="AG174"/>
      <c r="AH174"/>
      <c r="AI174"/>
      <c r="AJ174"/>
      <c r="AK174"/>
      <c r="AL174"/>
      <c r="AM174"/>
    </row>
    <row r="175" spans="1:39">
      <c r="A175"/>
      <c r="B175"/>
      <c r="C175"/>
      <c r="D175"/>
      <c r="E175"/>
      <c r="F175"/>
      <c r="G175"/>
      <c r="H175"/>
      <c r="I175"/>
      <c r="J175"/>
      <c r="K175"/>
      <c r="L175"/>
      <c r="M175"/>
      <c r="N175"/>
      <c r="O175"/>
      <c r="P175"/>
      <c r="Q175" s="183"/>
      <c r="R175"/>
      <c r="S175"/>
      <c r="T175"/>
      <c r="U175"/>
      <c r="V175"/>
      <c r="W175"/>
      <c r="X175"/>
      <c r="Y175"/>
      <c r="Z175"/>
      <c r="AA175"/>
      <c r="AB175"/>
      <c r="AC175"/>
      <c r="AD175"/>
      <c r="AE175"/>
      <c r="AF175"/>
      <c r="AG175"/>
      <c r="AH175"/>
      <c r="AI175"/>
      <c r="AJ175"/>
      <c r="AK175"/>
      <c r="AL175"/>
      <c r="AM175"/>
    </row>
    <row r="176" spans="1:39">
      <c r="A176"/>
      <c r="B176"/>
      <c r="C176"/>
      <c r="D176"/>
      <c r="E176"/>
      <c r="F176"/>
      <c r="G176"/>
      <c r="H176"/>
      <c r="I176"/>
      <c r="J176"/>
      <c r="K176"/>
      <c r="L176"/>
      <c r="M176"/>
      <c r="N176"/>
      <c r="O176"/>
      <c r="P176"/>
      <c r="Q176" s="183"/>
      <c r="R176"/>
      <c r="S176"/>
      <c r="T176"/>
      <c r="U176"/>
      <c r="V176"/>
      <c r="W176"/>
      <c r="X176"/>
      <c r="Y176"/>
      <c r="Z176"/>
      <c r="AA176"/>
      <c r="AB176"/>
      <c r="AC176"/>
      <c r="AD176"/>
      <c r="AE176"/>
      <c r="AF176"/>
      <c r="AG176"/>
      <c r="AH176"/>
      <c r="AI176"/>
      <c r="AJ176"/>
      <c r="AK176"/>
      <c r="AL176"/>
      <c r="AM176"/>
    </row>
    <row r="177" spans="1:39">
      <c r="A177"/>
      <c r="B177"/>
      <c r="C177"/>
      <c r="D177"/>
      <c r="E177"/>
      <c r="F177"/>
      <c r="G177"/>
      <c r="H177"/>
      <c r="I177"/>
      <c r="J177"/>
      <c r="K177"/>
      <c r="L177"/>
      <c r="M177"/>
      <c r="N177"/>
      <c r="O177"/>
      <c r="P177"/>
      <c r="Q177" s="183"/>
      <c r="R177"/>
      <c r="S177"/>
      <c r="T177"/>
      <c r="U177"/>
      <c r="V177"/>
      <c r="W177"/>
      <c r="X177"/>
      <c r="Y177"/>
      <c r="Z177"/>
      <c r="AA177"/>
      <c r="AB177"/>
      <c r="AC177"/>
      <c r="AD177"/>
      <c r="AE177"/>
      <c r="AF177"/>
      <c r="AG177"/>
      <c r="AH177"/>
      <c r="AI177"/>
      <c r="AJ177"/>
      <c r="AK177"/>
      <c r="AL177"/>
      <c r="AM177"/>
    </row>
    <row r="178" spans="1:39">
      <c r="A178"/>
      <c r="B178"/>
      <c r="C178"/>
      <c r="D178"/>
      <c r="E178"/>
      <c r="F178"/>
      <c r="G178"/>
      <c r="H178"/>
      <c r="I178"/>
      <c r="J178"/>
      <c r="K178"/>
      <c r="L178"/>
      <c r="M178"/>
      <c r="N178"/>
      <c r="O178"/>
      <c r="P178"/>
      <c r="Q178" s="183"/>
      <c r="R178"/>
      <c r="S178"/>
      <c r="T178"/>
      <c r="U178"/>
      <c r="V178"/>
      <c r="W178"/>
      <c r="X178"/>
      <c r="Y178"/>
      <c r="Z178"/>
      <c r="AA178"/>
      <c r="AB178"/>
      <c r="AC178"/>
      <c r="AD178"/>
      <c r="AE178"/>
      <c r="AF178"/>
      <c r="AG178"/>
      <c r="AH178"/>
      <c r="AI178"/>
      <c r="AJ178"/>
      <c r="AK178"/>
      <c r="AL178"/>
      <c r="AM178"/>
    </row>
    <row r="179" spans="1:39">
      <c r="A179"/>
      <c r="B179"/>
      <c r="C179"/>
      <c r="D179"/>
      <c r="E179"/>
      <c r="F179"/>
      <c r="G179"/>
      <c r="H179"/>
      <c r="I179"/>
      <c r="J179"/>
      <c r="K179"/>
      <c r="L179"/>
      <c r="M179"/>
      <c r="N179"/>
      <c r="O179"/>
      <c r="P179"/>
      <c r="Q179" s="183"/>
      <c r="R179"/>
      <c r="S179"/>
      <c r="T179"/>
      <c r="U179"/>
      <c r="V179"/>
      <c r="W179"/>
      <c r="X179"/>
      <c r="Y179"/>
      <c r="Z179"/>
      <c r="AA179"/>
      <c r="AB179"/>
      <c r="AC179"/>
      <c r="AD179"/>
      <c r="AE179"/>
      <c r="AF179"/>
      <c r="AG179"/>
      <c r="AH179"/>
      <c r="AI179"/>
      <c r="AJ179"/>
      <c r="AK179"/>
      <c r="AL179"/>
      <c r="AM179"/>
    </row>
    <row r="180" spans="1:39">
      <c r="A180"/>
      <c r="B180"/>
      <c r="C180"/>
      <c r="D180"/>
      <c r="E180"/>
      <c r="F180"/>
      <c r="G180"/>
      <c r="H180"/>
      <c r="I180"/>
      <c r="J180"/>
      <c r="K180"/>
      <c r="L180"/>
      <c r="M180"/>
      <c r="N180"/>
      <c r="O180"/>
      <c r="P180"/>
      <c r="Q180" s="183"/>
      <c r="R180"/>
      <c r="S180"/>
      <c r="T180"/>
      <c r="U180"/>
      <c r="V180"/>
      <c r="W180"/>
      <c r="X180"/>
      <c r="Y180"/>
      <c r="Z180"/>
      <c r="AA180"/>
      <c r="AB180"/>
      <c r="AC180"/>
      <c r="AD180"/>
      <c r="AE180"/>
      <c r="AF180"/>
      <c r="AG180"/>
      <c r="AH180"/>
      <c r="AI180"/>
      <c r="AJ180"/>
      <c r="AK180"/>
      <c r="AL180"/>
      <c r="AM180"/>
    </row>
    <row r="181" spans="1:39">
      <c r="A181"/>
      <c r="B181"/>
      <c r="C181"/>
      <c r="D181"/>
      <c r="E181"/>
      <c r="F181"/>
      <c r="G181"/>
      <c r="H181"/>
      <c r="I181"/>
      <c r="J181"/>
      <c r="K181"/>
      <c r="L181"/>
      <c r="M181"/>
      <c r="N181"/>
      <c r="O181"/>
      <c r="P181"/>
      <c r="Q181" s="183"/>
      <c r="R181"/>
      <c r="S181"/>
      <c r="T181"/>
      <c r="U181"/>
      <c r="V181"/>
      <c r="W181"/>
      <c r="X181"/>
      <c r="Y181"/>
      <c r="Z181"/>
      <c r="AA181"/>
      <c r="AB181"/>
      <c r="AC181"/>
      <c r="AD181"/>
      <c r="AE181"/>
      <c r="AF181"/>
      <c r="AG181"/>
      <c r="AH181"/>
      <c r="AI181"/>
      <c r="AJ181"/>
      <c r="AK181"/>
      <c r="AL181"/>
      <c r="AM181"/>
    </row>
    <row r="182" spans="1:39">
      <c r="A182"/>
      <c r="B182"/>
      <c r="C182"/>
      <c r="D182"/>
      <c r="E182"/>
      <c r="F182"/>
      <c r="G182"/>
      <c r="H182"/>
      <c r="I182"/>
      <c r="J182"/>
      <c r="K182"/>
      <c r="L182"/>
      <c r="M182"/>
      <c r="N182"/>
      <c r="O182"/>
      <c r="P182"/>
      <c r="Q182" s="183"/>
      <c r="R182"/>
      <c r="S182"/>
      <c r="T182"/>
      <c r="U182"/>
      <c r="V182"/>
      <c r="W182"/>
      <c r="X182"/>
      <c r="Y182"/>
      <c r="Z182"/>
      <c r="AA182"/>
      <c r="AB182"/>
      <c r="AC182"/>
      <c r="AD182"/>
      <c r="AE182"/>
      <c r="AF182"/>
      <c r="AG182"/>
      <c r="AH182"/>
      <c r="AI182"/>
      <c r="AJ182"/>
      <c r="AK182"/>
      <c r="AL182"/>
      <c r="AM182"/>
    </row>
    <row r="183" spans="1:39">
      <c r="A183"/>
      <c r="B183"/>
      <c r="C183"/>
      <c r="D183"/>
      <c r="E183"/>
      <c r="F183"/>
      <c r="G183"/>
      <c r="H183"/>
      <c r="I183"/>
      <c r="J183"/>
      <c r="K183"/>
      <c r="L183"/>
      <c r="M183"/>
      <c r="N183"/>
      <c r="O183"/>
      <c r="P183"/>
      <c r="Q183" s="183"/>
      <c r="R183"/>
      <c r="S183"/>
      <c r="T183"/>
      <c r="U183"/>
      <c r="V183"/>
      <c r="W183"/>
      <c r="X183"/>
      <c r="Y183"/>
      <c r="Z183"/>
      <c r="AA183"/>
      <c r="AB183"/>
      <c r="AC183"/>
      <c r="AD183"/>
      <c r="AE183"/>
      <c r="AF183"/>
      <c r="AG183"/>
      <c r="AH183"/>
      <c r="AI183"/>
      <c r="AJ183"/>
      <c r="AK183"/>
      <c r="AL183"/>
      <c r="AM183"/>
    </row>
    <row r="184" spans="1:39">
      <c r="A184"/>
      <c r="B184"/>
      <c r="C184"/>
      <c r="D184"/>
      <c r="E184"/>
      <c r="F184"/>
      <c r="G184"/>
      <c r="H184"/>
      <c r="I184"/>
      <c r="J184"/>
      <c r="K184"/>
      <c r="L184"/>
      <c r="M184"/>
      <c r="N184"/>
      <c r="O184"/>
      <c r="P184"/>
      <c r="Q184" s="183"/>
      <c r="R184"/>
      <c r="S184"/>
      <c r="T184"/>
      <c r="U184"/>
      <c r="V184"/>
      <c r="W184"/>
      <c r="X184"/>
      <c r="Y184"/>
      <c r="Z184"/>
      <c r="AA184"/>
      <c r="AB184"/>
      <c r="AC184"/>
      <c r="AD184"/>
      <c r="AE184"/>
      <c r="AF184"/>
      <c r="AG184"/>
      <c r="AH184"/>
      <c r="AI184"/>
      <c r="AJ184"/>
      <c r="AK184"/>
      <c r="AL184"/>
      <c r="AM184"/>
    </row>
    <row r="185" spans="1:39">
      <c r="A185"/>
      <c r="B185"/>
      <c r="C185"/>
      <c r="D185"/>
      <c r="E185"/>
      <c r="F185"/>
      <c r="G185"/>
      <c r="H185"/>
      <c r="I185"/>
      <c r="J185"/>
      <c r="K185"/>
      <c r="L185"/>
      <c r="M185"/>
      <c r="N185"/>
      <c r="O185"/>
      <c r="P185"/>
      <c r="Q185" s="183"/>
      <c r="R185"/>
      <c r="S185"/>
      <c r="T185"/>
      <c r="U185"/>
      <c r="V185"/>
      <c r="W185"/>
      <c r="X185"/>
      <c r="Y185"/>
      <c r="Z185"/>
      <c r="AA185"/>
      <c r="AB185"/>
      <c r="AC185"/>
      <c r="AD185"/>
      <c r="AE185"/>
      <c r="AF185"/>
      <c r="AG185"/>
      <c r="AH185"/>
      <c r="AI185"/>
      <c r="AJ185"/>
      <c r="AK185"/>
      <c r="AL185"/>
      <c r="AM185"/>
    </row>
    <row r="186" spans="1:39">
      <c r="A186"/>
      <c r="B186"/>
      <c r="C186"/>
      <c r="D186"/>
      <c r="E186"/>
      <c r="F186"/>
      <c r="G186"/>
      <c r="H186"/>
      <c r="I186"/>
      <c r="J186"/>
      <c r="K186"/>
      <c r="L186"/>
      <c r="M186"/>
      <c r="N186"/>
      <c r="O186"/>
      <c r="P186"/>
      <c r="Q186" s="183"/>
      <c r="R186"/>
      <c r="S186"/>
      <c r="T186"/>
      <c r="U186"/>
      <c r="V186"/>
      <c r="W186"/>
      <c r="X186"/>
      <c r="Y186"/>
      <c r="Z186"/>
      <c r="AA186"/>
      <c r="AB186"/>
      <c r="AC186"/>
      <c r="AD186"/>
      <c r="AE186"/>
      <c r="AF186"/>
      <c r="AG186"/>
      <c r="AH186"/>
      <c r="AI186"/>
      <c r="AJ186"/>
      <c r="AK186"/>
      <c r="AL186"/>
      <c r="AM186"/>
    </row>
    <row r="187" spans="1:39">
      <c r="A187"/>
      <c r="B187"/>
      <c r="C187"/>
      <c r="D187"/>
      <c r="E187"/>
      <c r="F187"/>
      <c r="G187"/>
      <c r="H187"/>
      <c r="I187"/>
      <c r="J187"/>
      <c r="K187"/>
      <c r="L187"/>
      <c r="M187"/>
      <c r="N187"/>
      <c r="O187"/>
      <c r="P187"/>
      <c r="Q187" s="183"/>
      <c r="R187"/>
      <c r="S187"/>
      <c r="T187"/>
      <c r="U187"/>
      <c r="V187"/>
      <c r="W187"/>
      <c r="X187"/>
      <c r="Y187"/>
      <c r="Z187"/>
      <c r="AA187"/>
      <c r="AB187"/>
      <c r="AC187"/>
      <c r="AD187"/>
      <c r="AE187"/>
      <c r="AF187"/>
      <c r="AG187"/>
      <c r="AH187"/>
      <c r="AI187"/>
      <c r="AJ187"/>
      <c r="AK187"/>
      <c r="AL187"/>
      <c r="AM187"/>
    </row>
    <row r="188" spans="1:39">
      <c r="A188"/>
      <c r="B188"/>
      <c r="C188"/>
      <c r="D188"/>
      <c r="E188"/>
      <c r="F188"/>
      <c r="G188"/>
      <c r="H188"/>
      <c r="I188"/>
      <c r="J188"/>
      <c r="K188"/>
      <c r="L188"/>
      <c r="M188"/>
      <c r="N188"/>
      <c r="O188"/>
      <c r="P188"/>
      <c r="Q188" s="183"/>
      <c r="R188"/>
      <c r="S188"/>
      <c r="T188"/>
      <c r="U188"/>
      <c r="V188"/>
      <c r="W188"/>
      <c r="X188"/>
      <c r="Y188"/>
      <c r="Z188"/>
      <c r="AA188"/>
      <c r="AB188"/>
      <c r="AC188"/>
      <c r="AD188"/>
      <c r="AE188"/>
      <c r="AF188"/>
      <c r="AG188"/>
      <c r="AH188"/>
      <c r="AI188"/>
      <c r="AJ188"/>
      <c r="AK188"/>
      <c r="AL188"/>
      <c r="AM188"/>
    </row>
    <row r="189" spans="1:39">
      <c r="A189"/>
      <c r="B189"/>
      <c r="C189"/>
      <c r="D189"/>
      <c r="E189"/>
      <c r="F189"/>
      <c r="G189"/>
      <c r="H189"/>
      <c r="I189"/>
      <c r="J189"/>
      <c r="K189"/>
      <c r="L189"/>
      <c r="M189"/>
      <c r="N189"/>
      <c r="O189"/>
      <c r="P189"/>
      <c r="Q189" s="183"/>
      <c r="R189"/>
      <c r="S189"/>
      <c r="T189"/>
      <c r="U189"/>
      <c r="V189"/>
      <c r="W189"/>
      <c r="X189"/>
      <c r="Y189"/>
      <c r="Z189"/>
      <c r="AA189"/>
      <c r="AB189"/>
      <c r="AC189"/>
      <c r="AD189"/>
      <c r="AE189"/>
      <c r="AF189"/>
      <c r="AG189"/>
      <c r="AH189"/>
      <c r="AI189"/>
      <c r="AJ189"/>
      <c r="AK189"/>
      <c r="AL189"/>
      <c r="AM189"/>
    </row>
    <row r="190" spans="1:39">
      <c r="A190"/>
      <c r="B190"/>
      <c r="C190"/>
      <c r="D190"/>
      <c r="E190"/>
      <c r="F190"/>
      <c r="G190"/>
      <c r="H190"/>
      <c r="I190"/>
      <c r="J190"/>
      <c r="K190"/>
      <c r="L190"/>
      <c r="M190"/>
      <c r="N190"/>
      <c r="O190"/>
      <c r="P190"/>
      <c r="Q190" s="183"/>
      <c r="R190"/>
      <c r="S190"/>
      <c r="T190"/>
      <c r="U190"/>
      <c r="V190"/>
      <c r="W190"/>
      <c r="X190"/>
      <c r="Y190"/>
      <c r="Z190"/>
      <c r="AA190"/>
      <c r="AB190"/>
      <c r="AC190"/>
      <c r="AD190"/>
      <c r="AE190"/>
      <c r="AF190"/>
      <c r="AG190"/>
      <c r="AH190"/>
      <c r="AI190"/>
      <c r="AJ190"/>
      <c r="AK190"/>
      <c r="AL190"/>
      <c r="AM190"/>
    </row>
    <row r="191" spans="1:39">
      <c r="A191"/>
      <c r="B191"/>
      <c r="C191"/>
      <c r="D191"/>
      <c r="E191"/>
      <c r="F191"/>
      <c r="G191"/>
      <c r="H191"/>
      <c r="I191"/>
      <c r="J191"/>
      <c r="K191"/>
      <c r="L191"/>
      <c r="M191"/>
      <c r="N191"/>
      <c r="O191"/>
      <c r="P191"/>
      <c r="Q191" s="183"/>
      <c r="R191"/>
      <c r="S191"/>
      <c r="T191"/>
      <c r="U191"/>
      <c r="V191"/>
      <c r="W191"/>
      <c r="X191"/>
      <c r="Y191"/>
      <c r="Z191"/>
      <c r="AA191"/>
      <c r="AB191"/>
      <c r="AC191"/>
      <c r="AD191"/>
      <c r="AE191"/>
      <c r="AF191"/>
      <c r="AG191"/>
      <c r="AH191"/>
      <c r="AI191"/>
      <c r="AJ191"/>
      <c r="AK191"/>
      <c r="AL191"/>
      <c r="AM191"/>
    </row>
    <row r="192" spans="1:39">
      <c r="A192"/>
      <c r="B192"/>
      <c r="C192"/>
      <c r="D192"/>
      <c r="E192"/>
      <c r="F192"/>
      <c r="G192"/>
      <c r="H192"/>
      <c r="I192"/>
      <c r="J192"/>
      <c r="K192"/>
      <c r="L192"/>
      <c r="M192"/>
      <c r="N192"/>
      <c r="O192"/>
      <c r="P192"/>
      <c r="Q192" s="183"/>
      <c r="R192"/>
      <c r="S192"/>
      <c r="T192"/>
      <c r="U192"/>
      <c r="V192"/>
      <c r="W192"/>
      <c r="X192"/>
      <c r="Y192"/>
      <c r="Z192"/>
      <c r="AA192"/>
      <c r="AB192"/>
      <c r="AC192"/>
      <c r="AD192"/>
      <c r="AE192"/>
      <c r="AF192"/>
      <c r="AG192"/>
      <c r="AH192"/>
      <c r="AI192"/>
      <c r="AJ192"/>
      <c r="AK192"/>
      <c r="AL192"/>
      <c r="AM192"/>
    </row>
    <row r="193" spans="1:39">
      <c r="A193"/>
      <c r="B193"/>
      <c r="C193"/>
      <c r="D193"/>
      <c r="E193"/>
      <c r="F193"/>
      <c r="G193"/>
      <c r="H193"/>
      <c r="I193"/>
      <c r="J193"/>
      <c r="K193"/>
      <c r="L193"/>
      <c r="M193"/>
      <c r="N193"/>
      <c r="O193"/>
      <c r="P193"/>
      <c r="Q193" s="183"/>
      <c r="R193"/>
      <c r="S193"/>
      <c r="T193"/>
      <c r="U193"/>
      <c r="V193"/>
      <c r="W193"/>
      <c r="X193"/>
      <c r="Y193"/>
      <c r="Z193"/>
      <c r="AA193"/>
      <c r="AB193"/>
      <c r="AC193"/>
      <c r="AD193"/>
      <c r="AE193"/>
      <c r="AF193"/>
      <c r="AG193"/>
      <c r="AH193"/>
      <c r="AI193"/>
      <c r="AJ193"/>
      <c r="AK193"/>
      <c r="AL193"/>
      <c r="AM193"/>
    </row>
    <row r="194" spans="1:39">
      <c r="A194"/>
      <c r="B194"/>
      <c r="C194"/>
      <c r="D194"/>
      <c r="E194"/>
      <c r="F194"/>
      <c r="G194"/>
      <c r="H194"/>
      <c r="I194"/>
      <c r="J194"/>
      <c r="K194"/>
      <c r="L194"/>
      <c r="M194"/>
      <c r="N194"/>
      <c r="O194"/>
      <c r="P194"/>
      <c r="Q194" s="183"/>
      <c r="R194"/>
      <c r="S194"/>
      <c r="T194"/>
      <c r="U194"/>
      <c r="V194"/>
      <c r="W194"/>
      <c r="X194"/>
      <c r="Y194"/>
      <c r="Z194"/>
      <c r="AA194"/>
      <c r="AB194"/>
      <c r="AC194"/>
      <c r="AD194"/>
      <c r="AE194"/>
      <c r="AF194"/>
      <c r="AG194"/>
      <c r="AH194"/>
      <c r="AI194"/>
      <c r="AJ194"/>
      <c r="AK194"/>
      <c r="AL194"/>
      <c r="AM194"/>
    </row>
    <row r="195" spans="1:39">
      <c r="A195"/>
      <c r="B195"/>
      <c r="C195"/>
      <c r="D195"/>
      <c r="E195"/>
      <c r="F195"/>
      <c r="G195"/>
      <c r="H195"/>
      <c r="I195"/>
      <c r="J195"/>
      <c r="K195"/>
      <c r="L195"/>
      <c r="M195"/>
      <c r="N195"/>
      <c r="O195"/>
      <c r="P195"/>
      <c r="Q195" s="183"/>
      <c r="R195"/>
      <c r="S195"/>
      <c r="T195"/>
      <c r="U195"/>
      <c r="V195"/>
      <c r="W195"/>
      <c r="X195"/>
      <c r="Y195"/>
      <c r="Z195"/>
      <c r="AA195"/>
      <c r="AB195"/>
      <c r="AC195"/>
      <c r="AD195"/>
      <c r="AE195"/>
      <c r="AF195"/>
      <c r="AG195"/>
      <c r="AH195"/>
      <c r="AI195"/>
      <c r="AJ195"/>
      <c r="AK195"/>
      <c r="AL195"/>
      <c r="AM195"/>
    </row>
    <row r="196" spans="1:39">
      <c r="A196"/>
      <c r="B196"/>
      <c r="C196"/>
      <c r="D196"/>
      <c r="E196"/>
      <c r="F196"/>
      <c r="G196"/>
      <c r="H196"/>
      <c r="I196"/>
      <c r="J196"/>
      <c r="K196"/>
      <c r="L196"/>
      <c r="M196"/>
      <c r="N196"/>
      <c r="O196"/>
      <c r="P196"/>
      <c r="Q196" s="183"/>
      <c r="R196"/>
      <c r="S196"/>
      <c r="T196"/>
      <c r="U196"/>
      <c r="V196"/>
      <c r="W196"/>
      <c r="X196"/>
      <c r="Y196"/>
      <c r="Z196"/>
      <c r="AA196"/>
      <c r="AB196"/>
      <c r="AC196"/>
      <c r="AD196"/>
      <c r="AE196"/>
      <c r="AF196"/>
      <c r="AG196"/>
      <c r="AH196"/>
      <c r="AI196"/>
      <c r="AJ196"/>
      <c r="AK196"/>
      <c r="AL196"/>
      <c r="AM196"/>
    </row>
    <row r="197" spans="1:39">
      <c r="A197"/>
      <c r="B197"/>
      <c r="C197"/>
      <c r="D197"/>
      <c r="E197"/>
      <c r="F197"/>
      <c r="G197"/>
      <c r="H197"/>
      <c r="I197"/>
      <c r="J197"/>
      <c r="K197"/>
      <c r="L197"/>
      <c r="M197"/>
      <c r="N197"/>
      <c r="O197"/>
      <c r="P197"/>
      <c r="Q197" s="183"/>
      <c r="R197"/>
      <c r="S197"/>
      <c r="T197"/>
      <c r="U197"/>
      <c r="V197"/>
      <c r="W197"/>
      <c r="X197"/>
      <c r="Y197"/>
      <c r="Z197"/>
      <c r="AA197"/>
      <c r="AB197"/>
      <c r="AC197"/>
      <c r="AD197"/>
      <c r="AE197"/>
      <c r="AF197"/>
      <c r="AG197"/>
      <c r="AH197"/>
      <c r="AI197"/>
      <c r="AJ197"/>
      <c r="AK197"/>
      <c r="AL197"/>
      <c r="AM197"/>
    </row>
    <row r="198" spans="1:39">
      <c r="A198"/>
      <c r="B198"/>
      <c r="C198"/>
      <c r="D198"/>
      <c r="E198"/>
      <c r="F198"/>
      <c r="G198"/>
      <c r="H198"/>
      <c r="I198"/>
      <c r="J198"/>
      <c r="K198"/>
      <c r="L198"/>
      <c r="M198"/>
      <c r="N198"/>
      <c r="O198"/>
      <c r="P198"/>
      <c r="Q198" s="183"/>
      <c r="R198"/>
      <c r="S198"/>
      <c r="T198"/>
      <c r="U198"/>
      <c r="V198"/>
      <c r="W198"/>
      <c r="X198"/>
      <c r="Y198"/>
      <c r="Z198"/>
      <c r="AA198"/>
      <c r="AB198"/>
      <c r="AC198"/>
      <c r="AD198"/>
      <c r="AE198"/>
      <c r="AF198"/>
      <c r="AG198"/>
      <c r="AH198"/>
      <c r="AI198"/>
      <c r="AJ198"/>
      <c r="AK198"/>
      <c r="AL198"/>
      <c r="AM198"/>
    </row>
    <row r="199" spans="1:39">
      <c r="A199"/>
      <c r="B199"/>
      <c r="C199"/>
      <c r="D199"/>
      <c r="E199"/>
      <c r="F199"/>
      <c r="G199"/>
      <c r="H199"/>
      <c r="I199"/>
      <c r="J199"/>
      <c r="K199"/>
      <c r="L199"/>
      <c r="M199"/>
      <c r="N199"/>
      <c r="O199"/>
      <c r="P199"/>
      <c r="Q199" s="183"/>
      <c r="R199"/>
      <c r="S199"/>
      <c r="T199"/>
      <c r="U199"/>
      <c r="V199"/>
      <c r="W199"/>
      <c r="X199"/>
      <c r="Y199"/>
      <c r="Z199"/>
      <c r="AA199"/>
      <c r="AB199"/>
      <c r="AC199"/>
      <c r="AD199"/>
      <c r="AE199"/>
      <c r="AF199"/>
      <c r="AG199"/>
      <c r="AH199"/>
      <c r="AI199"/>
      <c r="AJ199"/>
      <c r="AK199"/>
      <c r="AL199"/>
      <c r="AM199"/>
    </row>
    <row r="200" spans="1:39">
      <c r="A200"/>
      <c r="B200"/>
      <c r="C200"/>
      <c r="D200"/>
      <c r="E200"/>
      <c r="F200"/>
      <c r="G200"/>
      <c r="H200"/>
      <c r="I200"/>
      <c r="J200"/>
      <c r="K200"/>
      <c r="L200"/>
      <c r="M200"/>
      <c r="N200"/>
      <c r="O200"/>
      <c r="P200"/>
      <c r="Q200" s="183"/>
      <c r="R200"/>
      <c r="S200"/>
      <c r="T200"/>
      <c r="U200"/>
      <c r="V200"/>
      <c r="W200"/>
      <c r="X200"/>
      <c r="Y200"/>
      <c r="Z200"/>
      <c r="AA200"/>
      <c r="AB200"/>
      <c r="AC200"/>
      <c r="AD200"/>
      <c r="AE200"/>
      <c r="AF200"/>
      <c r="AG200"/>
      <c r="AH200"/>
      <c r="AI200"/>
      <c r="AJ200"/>
      <c r="AK200"/>
      <c r="AL200"/>
      <c r="AM200"/>
    </row>
    <row r="201" spans="1:39">
      <c r="A201"/>
      <c r="B201"/>
      <c r="C201"/>
      <c r="D201"/>
      <c r="E201"/>
      <c r="F201"/>
      <c r="G201"/>
      <c r="H201"/>
      <c r="I201"/>
      <c r="J201"/>
      <c r="K201"/>
      <c r="L201"/>
      <c r="M201"/>
      <c r="N201"/>
      <c r="O201"/>
      <c r="P201"/>
      <c r="Q201" s="183"/>
      <c r="R201"/>
      <c r="S201"/>
      <c r="T201"/>
      <c r="U201"/>
      <c r="V201"/>
      <c r="W201"/>
      <c r="X201"/>
      <c r="Y201"/>
      <c r="Z201"/>
      <c r="AA201"/>
      <c r="AB201"/>
      <c r="AC201"/>
      <c r="AD201"/>
      <c r="AE201"/>
      <c r="AF201"/>
      <c r="AG201"/>
      <c r="AH201"/>
      <c r="AI201"/>
      <c r="AJ201"/>
      <c r="AK201"/>
      <c r="AL201"/>
      <c r="AM201"/>
    </row>
    <row r="202" spans="1:39">
      <c r="A202"/>
      <c r="B202"/>
      <c r="C202"/>
      <c r="D202"/>
      <c r="E202"/>
      <c r="F202"/>
      <c r="G202"/>
      <c r="H202"/>
      <c r="I202"/>
      <c r="J202"/>
      <c r="K202"/>
      <c r="L202"/>
      <c r="M202"/>
      <c r="N202"/>
      <c r="O202"/>
      <c r="P202"/>
      <c r="Q202" s="183"/>
      <c r="R202"/>
      <c r="S202"/>
      <c r="T202"/>
      <c r="U202"/>
      <c r="V202"/>
      <c r="W202"/>
      <c r="X202"/>
      <c r="Y202"/>
      <c r="Z202"/>
      <c r="AA202"/>
      <c r="AB202"/>
      <c r="AC202"/>
      <c r="AD202"/>
      <c r="AE202"/>
      <c r="AF202"/>
      <c r="AG202"/>
      <c r="AH202"/>
      <c r="AI202"/>
      <c r="AJ202"/>
      <c r="AK202"/>
      <c r="AL202"/>
      <c r="AM202"/>
    </row>
    <row r="203" spans="1:39">
      <c r="A203"/>
      <c r="B203"/>
      <c r="C203"/>
      <c r="D203"/>
      <c r="E203"/>
      <c r="F203"/>
      <c r="G203"/>
      <c r="H203"/>
      <c r="I203"/>
      <c r="J203"/>
      <c r="K203"/>
      <c r="L203"/>
      <c r="M203"/>
      <c r="N203"/>
      <c r="O203"/>
      <c r="P203"/>
      <c r="Q203" s="183"/>
      <c r="R203"/>
      <c r="S203"/>
      <c r="T203"/>
      <c r="U203"/>
      <c r="V203"/>
      <c r="W203"/>
      <c r="X203"/>
      <c r="Y203"/>
      <c r="Z203"/>
      <c r="AA203"/>
      <c r="AB203"/>
      <c r="AC203"/>
      <c r="AD203"/>
      <c r="AE203"/>
      <c r="AF203"/>
      <c r="AG203"/>
      <c r="AH203"/>
      <c r="AI203"/>
      <c r="AJ203"/>
      <c r="AK203"/>
      <c r="AL203"/>
      <c r="AM203"/>
    </row>
    <row r="204" spans="1:39">
      <c r="A204"/>
      <c r="B204"/>
      <c r="C204"/>
      <c r="D204"/>
      <c r="E204"/>
      <c r="F204"/>
      <c r="G204"/>
      <c r="H204"/>
      <c r="I204"/>
      <c r="J204"/>
      <c r="K204"/>
      <c r="L204"/>
      <c r="M204"/>
      <c r="N204"/>
      <c r="O204"/>
      <c r="P204"/>
      <c r="Q204" s="183"/>
      <c r="R204"/>
      <c r="S204"/>
      <c r="T204"/>
      <c r="U204"/>
      <c r="V204"/>
      <c r="W204"/>
      <c r="X204"/>
      <c r="Y204"/>
      <c r="Z204"/>
      <c r="AA204"/>
      <c r="AB204"/>
      <c r="AC204"/>
      <c r="AD204"/>
      <c r="AE204"/>
      <c r="AF204"/>
      <c r="AG204"/>
      <c r="AH204"/>
      <c r="AI204"/>
      <c r="AJ204"/>
      <c r="AK204"/>
      <c r="AL204"/>
      <c r="AM204"/>
    </row>
    <row r="205" spans="1:39">
      <c r="A205"/>
      <c r="B205"/>
      <c r="C205"/>
      <c r="D205"/>
      <c r="E205"/>
      <c r="F205"/>
      <c r="G205"/>
      <c r="H205"/>
      <c r="I205"/>
      <c r="J205"/>
      <c r="K205"/>
      <c r="L205"/>
      <c r="M205"/>
      <c r="N205"/>
      <c r="O205"/>
      <c r="P205"/>
      <c r="Q205" s="183"/>
      <c r="R205"/>
      <c r="S205"/>
      <c r="T205"/>
      <c r="U205"/>
      <c r="V205"/>
      <c r="W205"/>
      <c r="X205"/>
      <c r="Y205"/>
      <c r="Z205"/>
      <c r="AA205"/>
      <c r="AB205"/>
      <c r="AC205"/>
      <c r="AD205"/>
      <c r="AE205"/>
      <c r="AF205"/>
      <c r="AG205"/>
      <c r="AH205"/>
      <c r="AI205"/>
      <c r="AJ205"/>
      <c r="AK205"/>
      <c r="AL205"/>
      <c r="AM205"/>
    </row>
    <row r="206" spans="1:39">
      <c r="A206"/>
      <c r="B206"/>
      <c r="C206"/>
      <c r="D206"/>
      <c r="E206"/>
      <c r="F206"/>
      <c r="G206"/>
      <c r="H206"/>
      <c r="I206"/>
      <c r="J206"/>
      <c r="K206"/>
      <c r="L206"/>
      <c r="M206"/>
      <c r="N206"/>
      <c r="O206"/>
      <c r="P206"/>
      <c r="Q206" s="183"/>
      <c r="R206"/>
      <c r="S206"/>
      <c r="T206"/>
      <c r="U206"/>
      <c r="V206"/>
      <c r="W206"/>
      <c r="X206"/>
      <c r="Y206"/>
      <c r="Z206"/>
      <c r="AA206"/>
      <c r="AB206"/>
      <c r="AC206"/>
      <c r="AD206"/>
      <c r="AE206"/>
      <c r="AF206"/>
      <c r="AG206"/>
      <c r="AH206"/>
      <c r="AI206"/>
      <c r="AJ206"/>
      <c r="AK206"/>
      <c r="AL206"/>
      <c r="AM206"/>
    </row>
    <row r="207" spans="1:39">
      <c r="A207"/>
      <c r="B207"/>
      <c r="C207"/>
      <c r="D207"/>
      <c r="E207"/>
      <c r="F207"/>
      <c r="G207"/>
      <c r="H207"/>
      <c r="I207"/>
      <c r="J207"/>
      <c r="K207"/>
      <c r="L207"/>
      <c r="M207"/>
      <c r="N207"/>
      <c r="O207"/>
      <c r="P207"/>
      <c r="Q207" s="183"/>
      <c r="R207"/>
      <c r="S207"/>
      <c r="T207"/>
      <c r="U207"/>
      <c r="V207"/>
      <c r="W207"/>
      <c r="X207"/>
      <c r="Y207"/>
      <c r="Z207"/>
      <c r="AA207"/>
      <c r="AB207"/>
      <c r="AC207"/>
      <c r="AD207"/>
      <c r="AE207"/>
      <c r="AF207"/>
      <c r="AG207"/>
      <c r="AH207"/>
      <c r="AI207"/>
      <c r="AJ207"/>
      <c r="AK207"/>
      <c r="AL207"/>
      <c r="AM207"/>
    </row>
    <row r="208" spans="1:39">
      <c r="A208"/>
      <c r="B208"/>
      <c r="C208"/>
      <c r="D208"/>
      <c r="E208"/>
      <c r="F208"/>
      <c r="G208"/>
      <c r="H208"/>
      <c r="I208"/>
      <c r="J208"/>
      <c r="K208"/>
      <c r="L208"/>
      <c r="M208"/>
      <c r="N208"/>
      <c r="O208"/>
      <c r="P208"/>
      <c r="Q208" s="183"/>
      <c r="R208"/>
      <c r="S208"/>
      <c r="T208"/>
      <c r="U208"/>
      <c r="V208"/>
      <c r="W208"/>
      <c r="X208"/>
      <c r="Y208"/>
      <c r="Z208"/>
      <c r="AA208"/>
      <c r="AB208"/>
      <c r="AC208"/>
      <c r="AD208"/>
      <c r="AE208"/>
      <c r="AF208"/>
      <c r="AG208"/>
      <c r="AH208"/>
      <c r="AI208"/>
      <c r="AJ208"/>
      <c r="AK208"/>
      <c r="AL208"/>
      <c r="AM208"/>
    </row>
    <row r="209" spans="1:39">
      <c r="A209"/>
      <c r="B209"/>
      <c r="C209"/>
      <c r="D209"/>
      <c r="E209"/>
      <c r="F209"/>
      <c r="G209"/>
      <c r="H209"/>
      <c r="I209"/>
      <c r="J209"/>
      <c r="K209"/>
      <c r="L209"/>
      <c r="M209"/>
      <c r="N209"/>
      <c r="O209"/>
      <c r="P209"/>
      <c r="Q209" s="183"/>
      <c r="R209"/>
      <c r="S209"/>
      <c r="T209"/>
      <c r="U209"/>
      <c r="V209"/>
      <c r="W209"/>
      <c r="X209"/>
      <c r="Y209"/>
      <c r="Z209"/>
      <c r="AA209"/>
      <c r="AB209"/>
      <c r="AC209"/>
      <c r="AD209"/>
      <c r="AE209"/>
      <c r="AF209"/>
      <c r="AG209"/>
      <c r="AH209"/>
      <c r="AI209"/>
      <c r="AJ209"/>
      <c r="AK209"/>
      <c r="AL209"/>
      <c r="AM209"/>
    </row>
  </sheetData>
  <sheetProtection selectLockedCells="1" selectUnlockedCells="1"/>
  <mergeCells count="13">
    <mergeCell ref="I31:I32"/>
    <mergeCell ref="K31:K32"/>
    <mergeCell ref="C31:C32"/>
    <mergeCell ref="D31:D32"/>
    <mergeCell ref="E31:E32"/>
    <mergeCell ref="F31:F32"/>
    <mergeCell ref="H31:H32"/>
    <mergeCell ref="K1:M1"/>
    <mergeCell ref="K2:M2"/>
    <mergeCell ref="K3:M3"/>
    <mergeCell ref="B1:J3"/>
    <mergeCell ref="C7:I7"/>
    <mergeCell ref="K7:Q7"/>
  </mergeCells>
  <pageMargins left="0.23622047244094491" right="0.23622047244094491" top="0.23622047244094491" bottom="0.23622047244094491" header="0" footer="0"/>
  <pageSetup paperSize="9" scale="83" firstPageNumber="0" orientation="landscape" r:id="rId1"/>
  <headerFooter alignWithMargins="0"/>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Feuil22">
    <outlinePr summaryBelow="0" summaryRight="0"/>
    <pageSetUpPr fitToPage="1"/>
  </sheetPr>
  <dimension ref="A1:H14"/>
  <sheetViews>
    <sheetView showGridLines="0" topLeftCell="A3" zoomScale="80" zoomScaleNormal="80" workbookViewId="0">
      <selection activeCell="A11" sqref="A11:H11"/>
    </sheetView>
  </sheetViews>
  <sheetFormatPr baseColWidth="10" defaultColWidth="11.44140625" defaultRowHeight="13.2"/>
  <cols>
    <col min="1" max="1" width="19.6640625" style="3" customWidth="1"/>
    <col min="2" max="2" width="11.44140625" style="3" customWidth="1"/>
    <col min="3" max="3" width="14.6640625" style="3" customWidth="1"/>
    <col min="4" max="4" width="12.109375" style="3" customWidth="1"/>
    <col min="5" max="5" width="85.109375" style="4" customWidth="1"/>
    <col min="6" max="6" width="28.5546875" style="4" customWidth="1"/>
    <col min="7" max="7" width="17.109375" style="4" customWidth="1"/>
    <col min="8" max="8" width="17.5546875" style="4" customWidth="1"/>
    <col min="9" max="9" width="26.5546875" style="3" customWidth="1"/>
    <col min="10" max="16384" width="11.44140625" style="3"/>
  </cols>
  <sheetData>
    <row r="1" spans="1:8" ht="13.5" customHeight="1">
      <c r="A1" s="279" t="str">
        <f>"BILAN au "&amp;TEXT(G2,"jj/mm/aaaa")</f>
        <v>BILAN au 25/00/Freitag</v>
      </c>
      <c r="B1" s="280"/>
      <c r="C1" s="280"/>
      <c r="D1" s="280"/>
      <c r="E1" s="280"/>
      <c r="F1" s="280"/>
      <c r="G1" s="312" t="str">
        <f>'1a-Identification Projet'!$L1</f>
        <v>reference Tableau de bord</v>
      </c>
      <c r="H1" s="313"/>
    </row>
    <row r="2" spans="1:8" ht="12.75" customHeight="1">
      <c r="A2" s="281"/>
      <c r="B2" s="282"/>
      <c r="C2" s="282"/>
      <c r="D2" s="282"/>
      <c r="E2" s="282"/>
      <c r="F2" s="282"/>
      <c r="G2" s="227">
        <f>'1a-Identification Projet'!$L2</f>
        <v>45912</v>
      </c>
      <c r="H2" s="228"/>
    </row>
    <row r="3" spans="1:8" ht="16.5" customHeight="1" thickBot="1">
      <c r="A3" s="283"/>
      <c r="B3" s="284"/>
      <c r="C3" s="284"/>
      <c r="D3" s="284"/>
      <c r="E3" s="284"/>
      <c r="F3" s="284"/>
      <c r="G3" s="229" t="str">
        <f>'1a-Identification Projet'!$L3</f>
        <v>Organisation</v>
      </c>
      <c r="H3" s="230"/>
    </row>
    <row r="4" spans="1:8" ht="12.75" customHeight="1">
      <c r="B4" s="26"/>
      <c r="C4" s="26"/>
      <c r="D4" s="26"/>
    </row>
    <row r="5" spans="1:8" ht="14.25" customHeight="1"/>
    <row r="6" spans="1:8">
      <c r="A6" s="76" t="s">
        <v>91</v>
      </c>
    </row>
    <row r="7" spans="1:8">
      <c r="A7" s="314"/>
      <c r="B7" s="315"/>
      <c r="C7" s="315"/>
      <c r="D7" s="315"/>
      <c r="E7" s="315"/>
      <c r="F7" s="315"/>
      <c r="G7" s="315"/>
      <c r="H7" s="315"/>
    </row>
    <row r="8" spans="1:8" ht="113.4" customHeight="1">
      <c r="A8" s="316" t="s">
        <v>339</v>
      </c>
      <c r="B8" s="316"/>
      <c r="C8" s="316"/>
      <c r="D8" s="316"/>
      <c r="E8" s="316"/>
      <c r="F8" s="316"/>
      <c r="G8" s="316"/>
      <c r="H8" s="316"/>
    </row>
    <row r="9" spans="1:8">
      <c r="A9" s="76" t="s">
        <v>93</v>
      </c>
    </row>
    <row r="10" spans="1:8">
      <c r="A10" s="314"/>
      <c r="B10" s="315"/>
      <c r="C10" s="315"/>
      <c r="D10" s="315"/>
      <c r="E10" s="315"/>
      <c r="F10" s="315"/>
      <c r="G10" s="315"/>
      <c r="H10" s="315"/>
    </row>
    <row r="11" spans="1:8" ht="154.19999999999999" customHeight="1">
      <c r="A11" s="317" t="s">
        <v>340</v>
      </c>
      <c r="B11" s="317"/>
      <c r="C11" s="317"/>
      <c r="D11" s="317"/>
      <c r="E11" s="317"/>
      <c r="F11" s="317"/>
      <c r="G11" s="317"/>
      <c r="H11" s="317"/>
    </row>
    <row r="12" spans="1:8">
      <c r="A12" s="76" t="s">
        <v>92</v>
      </c>
    </row>
    <row r="13" spans="1:8">
      <c r="A13" s="314"/>
      <c r="B13" s="315"/>
      <c r="C13" s="315"/>
      <c r="D13" s="315"/>
      <c r="E13" s="315"/>
      <c r="F13" s="315"/>
      <c r="G13" s="315"/>
      <c r="H13" s="315"/>
    </row>
    <row r="14" spans="1:8" ht="93.75" customHeight="1">
      <c r="A14" s="310" t="s">
        <v>341</v>
      </c>
      <c r="B14" s="311"/>
      <c r="C14" s="311"/>
      <c r="D14" s="311"/>
      <c r="E14" s="311"/>
      <c r="F14" s="311"/>
      <c r="G14" s="311"/>
      <c r="H14" s="311"/>
    </row>
  </sheetData>
  <mergeCells count="10">
    <mergeCell ref="A14:H14"/>
    <mergeCell ref="G1:H1"/>
    <mergeCell ref="G2:H2"/>
    <mergeCell ref="G3:H3"/>
    <mergeCell ref="A7:H7"/>
    <mergeCell ref="A10:H10"/>
    <mergeCell ref="A13:H13"/>
    <mergeCell ref="A8:H8"/>
    <mergeCell ref="A11:H11"/>
    <mergeCell ref="A1:F3"/>
  </mergeCells>
  <printOptions horizontalCentered="1"/>
  <pageMargins left="0.23622047244094491" right="0.23622047244094491" top="0.23622047244094491" bottom="0.23622047244094491" header="0" footer="0"/>
  <pageSetup paperSize="9" scale="70" orientation="landscape"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B3"/>
  <sheetViews>
    <sheetView topLeftCell="A151" workbookViewId="0">
      <selection activeCell="J32" sqref="J32"/>
    </sheetView>
  </sheetViews>
  <sheetFormatPr baseColWidth="10" defaultColWidth="11.5546875" defaultRowHeight="13.2"/>
  <cols>
    <col min="1" max="1" width="18" customWidth="1"/>
    <col min="2" max="2" width="16.88671875" customWidth="1"/>
  </cols>
  <sheetData>
    <row r="2" spans="1:2">
      <c r="A2" t="s">
        <v>97</v>
      </c>
      <c r="B2" t="s">
        <v>98</v>
      </c>
    </row>
    <row r="3" spans="1:2">
      <c r="A3" t="s">
        <v>100</v>
      </c>
      <c r="B3" t="s">
        <v>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16</vt:i4>
      </vt:variant>
    </vt:vector>
  </HeadingPairs>
  <TitlesOfParts>
    <vt:vector size="16" baseType="lpstr">
      <vt:lpstr>1a-Identification Projet</vt:lpstr>
      <vt:lpstr>1b- Besoin capturé</vt:lpstr>
      <vt:lpstr>2- Croquis de la solution</vt:lpstr>
      <vt:lpstr>2a-OBS</vt:lpstr>
      <vt:lpstr>2b-PBS</vt:lpstr>
      <vt:lpstr>2c-WBS</vt:lpstr>
      <vt:lpstr>2d-Planning Initial</vt:lpstr>
      <vt:lpstr>23b- Principaux évènements</vt:lpstr>
      <vt:lpstr>23c Actions</vt:lpstr>
      <vt:lpstr>23d Decisions</vt:lpstr>
      <vt:lpstr>23e Documents projet</vt:lpstr>
      <vt:lpstr>23f Livrables projet</vt:lpstr>
      <vt:lpstr>23a Risques-Opportunités</vt:lpstr>
      <vt:lpstr>3a-Planning courant</vt:lpstr>
      <vt:lpstr>4-Bilan</vt:lpstr>
      <vt:lpstr>Cartouche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cp:revision>1</cp:revision>
  <dcterms:created xsi:type="dcterms:W3CDTF">2018-03-05T21:20:31Z</dcterms:created>
  <dcterms:modified xsi:type="dcterms:W3CDTF">2025-12-01T08:48:19Z</dcterms:modified>
</cp:coreProperties>
</file>